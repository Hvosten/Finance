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0" yWindow="0" windowWidth="20490" windowHeight="7620"/>
  </bookViews>
  <sheets>
    <sheet name="Wzory dokładne" sheetId="1" r:id="rId1"/>
    <sheet name="BinomialTree" sheetId="4" r:id="rId2"/>
    <sheet name="BrownianBridge" sheetId="2" r:id="rId3"/>
    <sheet name="BrownianBridgeVBA" sheetId="3" r:id="rId4"/>
    <sheet name="ExplicitMethod_excel" sheetId="8" r:id="rId5"/>
    <sheet name="ImpicitMethod_VBA" sheetId="10" r:id="rId6"/>
  </sheets>
  <functionGroups builtInGroupCount="17"/>
  <definedNames>
    <definedName name="_xlnm.Print_Area" localSheetId="0">'Wzory dokładne'!$A$1:$T$22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" l="1"/>
  <c r="B9" i="2"/>
  <c r="B10" i="2"/>
  <c r="D5" i="8"/>
  <c r="B10" i="8"/>
  <c r="B12" i="8"/>
  <c r="E5" i="8"/>
  <c r="D4" i="3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E17" i="4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O28" i="8"/>
  <c r="G28" i="8"/>
  <c r="H28" i="8"/>
  <c r="I28" i="8"/>
  <c r="J28" i="8"/>
  <c r="K28" i="8"/>
  <c r="L28" i="8"/>
  <c r="M28" i="8"/>
  <c r="N28" i="8"/>
  <c r="B9" i="8"/>
  <c r="R1" i="8"/>
  <c r="R27" i="8"/>
  <c r="S27" i="8"/>
  <c r="T27" i="8"/>
  <c r="R26" i="8"/>
  <c r="S26" i="8"/>
  <c r="T26" i="8"/>
  <c r="R25" i="8"/>
  <c r="S25" i="8"/>
  <c r="T25" i="8"/>
  <c r="R24" i="8"/>
  <c r="S24" i="8"/>
  <c r="T24" i="8"/>
  <c r="R23" i="8"/>
  <c r="S23" i="8"/>
  <c r="T23" i="8"/>
  <c r="R22" i="8"/>
  <c r="S22" i="8"/>
  <c r="T22" i="8"/>
  <c r="R21" i="8"/>
  <c r="S21" i="8"/>
  <c r="T21" i="8"/>
  <c r="R20" i="8"/>
  <c r="S20" i="8"/>
  <c r="T20" i="8"/>
  <c r="R19" i="8"/>
  <c r="S19" i="8"/>
  <c r="T19" i="8"/>
  <c r="R18" i="8"/>
  <c r="S18" i="8"/>
  <c r="T18" i="8"/>
  <c r="F28" i="8"/>
  <c r="R17" i="8"/>
  <c r="S17" i="8"/>
  <c r="T17" i="8"/>
  <c r="R16" i="8"/>
  <c r="S16" i="8"/>
  <c r="T16" i="8"/>
  <c r="R7" i="8"/>
  <c r="S7" i="8"/>
  <c r="T7" i="8"/>
  <c r="R8" i="8"/>
  <c r="S8" i="8"/>
  <c r="T8" i="8"/>
  <c r="R9" i="8"/>
  <c r="S9" i="8"/>
  <c r="T9" i="8"/>
  <c r="R10" i="8"/>
  <c r="S10" i="8"/>
  <c r="T10" i="8"/>
  <c r="R11" i="8"/>
  <c r="S11" i="8"/>
  <c r="T11" i="8"/>
  <c r="R12" i="8"/>
  <c r="S12" i="8"/>
  <c r="T12" i="8"/>
  <c r="R13" i="8"/>
  <c r="S13" i="8"/>
  <c r="T13" i="8"/>
  <c r="R14" i="8"/>
  <c r="S14" i="8"/>
  <c r="T14" i="8"/>
  <c r="R15" i="8"/>
  <c r="S15" i="8"/>
  <c r="T15" i="8"/>
  <c r="R6" i="8"/>
  <c r="S6" i="8"/>
  <c r="T6" i="8"/>
  <c r="F3" i="8"/>
  <c r="G3" i="8"/>
  <c r="H3" i="8"/>
  <c r="I3" i="8"/>
  <c r="J3" i="8"/>
  <c r="K3" i="8"/>
  <c r="L3" i="8"/>
  <c r="M3" i="8"/>
  <c r="N3" i="8"/>
  <c r="O3" i="8"/>
  <c r="O4" i="8"/>
  <c r="O5" i="8"/>
  <c r="N4" i="8"/>
  <c r="N5" i="8"/>
  <c r="M4" i="8"/>
  <c r="M5" i="8"/>
  <c r="L4" i="8"/>
  <c r="L5" i="8"/>
  <c r="K4" i="8"/>
  <c r="K5" i="8"/>
  <c r="J4" i="8"/>
  <c r="J5" i="8"/>
  <c r="I4" i="8"/>
  <c r="I5" i="8"/>
  <c r="H4" i="8"/>
  <c r="H5" i="8"/>
  <c r="G4" i="8"/>
  <c r="G5" i="8"/>
  <c r="R18" i="2"/>
  <c r="E5" i="4"/>
  <c r="B6" i="4"/>
  <c r="B9" i="4"/>
  <c r="F5" i="4"/>
  <c r="G5" i="4"/>
  <c r="H5" i="4"/>
  <c r="I5" i="4"/>
  <c r="J5" i="4"/>
  <c r="K5" i="4"/>
  <c r="L5" i="4"/>
  <c r="M5" i="4"/>
  <c r="N5" i="4"/>
  <c r="B10" i="4"/>
  <c r="O6" i="4"/>
  <c r="O20" i="4"/>
  <c r="N6" i="4"/>
  <c r="O7" i="4"/>
  <c r="O21" i="4"/>
  <c r="M6" i="4"/>
  <c r="N7" i="4"/>
  <c r="O8" i="4"/>
  <c r="O22" i="4"/>
  <c r="L6" i="4"/>
  <c r="M7" i="4"/>
  <c r="N8" i="4"/>
  <c r="O9" i="4"/>
  <c r="O23" i="4"/>
  <c r="K6" i="4"/>
  <c r="L7" i="4"/>
  <c r="M8" i="4"/>
  <c r="N9" i="4"/>
  <c r="O10" i="4"/>
  <c r="O24" i="4"/>
  <c r="J6" i="4"/>
  <c r="K7" i="4"/>
  <c r="L8" i="4"/>
  <c r="M9" i="4"/>
  <c r="N10" i="4"/>
  <c r="O11" i="4"/>
  <c r="O25" i="4"/>
  <c r="I6" i="4"/>
  <c r="J7" i="4"/>
  <c r="K8" i="4"/>
  <c r="L9" i="4"/>
  <c r="M10" i="4"/>
  <c r="N11" i="4"/>
  <c r="O12" i="4"/>
  <c r="O26" i="4"/>
  <c r="H6" i="4"/>
  <c r="I7" i="4"/>
  <c r="J8" i="4"/>
  <c r="K9" i="4"/>
  <c r="L10" i="4"/>
  <c r="M11" i="4"/>
  <c r="N12" i="4"/>
  <c r="O13" i="4"/>
  <c r="O27" i="4"/>
  <c r="G6" i="4"/>
  <c r="H7" i="4"/>
  <c r="I8" i="4"/>
  <c r="J9" i="4"/>
  <c r="K10" i="4"/>
  <c r="L11" i="4"/>
  <c r="M12" i="4"/>
  <c r="N13" i="4"/>
  <c r="O14" i="4"/>
  <c r="O28" i="4"/>
  <c r="F6" i="4"/>
  <c r="G7" i="4"/>
  <c r="H8" i="4"/>
  <c r="I9" i="4"/>
  <c r="J10" i="4"/>
  <c r="K11" i="4"/>
  <c r="L12" i="4"/>
  <c r="M13" i="4"/>
  <c r="N14" i="4"/>
  <c r="O15" i="4"/>
  <c r="O29" i="4"/>
  <c r="O5" i="4"/>
  <c r="O19" i="4"/>
  <c r="T5" i="8"/>
  <c r="S5" i="8"/>
  <c r="R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5" i="8"/>
  <c r="F4" i="8"/>
  <c r="F5" i="8"/>
  <c r="P3" i="8"/>
  <c r="P4" i="8"/>
  <c r="B11" i="4"/>
  <c r="B12" i="4"/>
  <c r="N19" i="4"/>
  <c r="M19" i="4" s="1"/>
  <c r="N20" i="4"/>
  <c r="M20" i="4" s="1"/>
  <c r="N21" i="4"/>
  <c r="N22" i="4"/>
  <c r="M21" i="4" s="1"/>
  <c r="N23" i="4"/>
  <c r="M23" i="4" s="1"/>
  <c r="L23" i="4" s="1"/>
  <c r="N24" i="4"/>
  <c r="N25" i="4"/>
  <c r="M24" i="4"/>
  <c r="N26" i="4"/>
  <c r="M25" i="4"/>
  <c r="L24" i="4"/>
  <c r="K23" i="4"/>
  <c r="N27" i="4"/>
  <c r="M26" i="4"/>
  <c r="L25" i="4"/>
  <c r="K24" i="4"/>
  <c r="J23" i="4"/>
  <c r="I22" i="4"/>
  <c r="G21" i="4"/>
  <c r="N28" i="4"/>
  <c r="F18" i="4"/>
  <c r="G18" i="4"/>
  <c r="H18" i="4"/>
  <c r="I18" i="4"/>
  <c r="J18" i="4"/>
  <c r="K18" i="4"/>
  <c r="L18" i="4"/>
  <c r="M18" i="4"/>
  <c r="N18" i="4"/>
  <c r="O18" i="4"/>
  <c r="D6" i="4"/>
  <c r="D7" i="4"/>
  <c r="D8" i="4"/>
  <c r="D9" i="4"/>
  <c r="D10" i="4"/>
  <c r="D11" i="4"/>
  <c r="D12" i="4"/>
  <c r="D13" i="4"/>
  <c r="D14" i="4"/>
  <c r="D15" i="4"/>
  <c r="F4" i="4"/>
  <c r="G4" i="4"/>
  <c r="H4" i="4"/>
  <c r="I4" i="4"/>
  <c r="J4" i="4"/>
  <c r="K4" i="4"/>
  <c r="L4" i="4"/>
  <c r="M4" i="4"/>
  <c r="N4" i="4"/>
  <c r="O4" i="4"/>
  <c r="B11" i="2"/>
  <c r="B12" i="2"/>
  <c r="Q5" i="2"/>
  <c r="E5" i="2"/>
  <c r="F5" i="2"/>
  <c r="G5" i="2"/>
  <c r="H5" i="2"/>
  <c r="I5" i="2"/>
  <c r="J5" i="2"/>
  <c r="K5" i="2"/>
  <c r="L5" i="2"/>
  <c r="M5" i="2"/>
  <c r="N5" i="2"/>
  <c r="O5" i="2"/>
  <c r="D6" i="2"/>
  <c r="Q6" i="2"/>
  <c r="O6" i="2"/>
  <c r="D7" i="2"/>
  <c r="Q7" i="2"/>
  <c r="N6" i="2"/>
  <c r="O7" i="2"/>
  <c r="D8" i="2"/>
  <c r="Q8" i="2"/>
  <c r="M6" i="2"/>
  <c r="N7" i="2"/>
  <c r="O8" i="2"/>
  <c r="D9" i="2"/>
  <c r="Q9" i="2"/>
  <c r="L6" i="2"/>
  <c r="M7" i="2"/>
  <c r="N8" i="2"/>
  <c r="O9" i="2"/>
  <c r="D10" i="2"/>
  <c r="Q10" i="2"/>
  <c r="K6" i="2"/>
  <c r="L7" i="2"/>
  <c r="M8" i="2"/>
  <c r="N9" i="2"/>
  <c r="O10" i="2"/>
  <c r="D11" i="2"/>
  <c r="Q11" i="2"/>
  <c r="J6" i="2"/>
  <c r="K7" i="2"/>
  <c r="L8" i="2"/>
  <c r="M9" i="2"/>
  <c r="N10" i="2"/>
  <c r="O11" i="2"/>
  <c r="D12" i="2"/>
  <c r="Q12" i="2"/>
  <c r="I6" i="2"/>
  <c r="J7" i="2"/>
  <c r="K8" i="2"/>
  <c r="L9" i="2"/>
  <c r="M10" i="2"/>
  <c r="N11" i="2"/>
  <c r="O12" i="2"/>
  <c r="D13" i="2"/>
  <c r="Q13" i="2"/>
  <c r="H6" i="2"/>
  <c r="I7" i="2"/>
  <c r="J8" i="2"/>
  <c r="K9" i="2"/>
  <c r="L10" i="2"/>
  <c r="M11" i="2"/>
  <c r="N12" i="2"/>
  <c r="O13" i="2"/>
  <c r="D14" i="2"/>
  <c r="Q14" i="2"/>
  <c r="G6" i="2"/>
  <c r="H7" i="2"/>
  <c r="I8" i="2"/>
  <c r="J9" i="2"/>
  <c r="K10" i="2"/>
  <c r="L11" i="2"/>
  <c r="M12" i="2"/>
  <c r="N13" i="2"/>
  <c r="O14" i="2"/>
  <c r="D15" i="2"/>
  <c r="Q15" i="2"/>
  <c r="F6" i="2"/>
  <c r="G7" i="2"/>
  <c r="H8" i="2"/>
  <c r="I9" i="2"/>
  <c r="J10" i="2"/>
  <c r="K11" i="2"/>
  <c r="L12" i="2"/>
  <c r="M13" i="2"/>
  <c r="N14" i="2"/>
  <c r="O15" i="2"/>
  <c r="Q16" i="2"/>
  <c r="F4" i="2"/>
  <c r="G4" i="2"/>
  <c r="H4" i="2"/>
  <c r="I4" i="2"/>
  <c r="J4" i="2"/>
  <c r="K4" i="2"/>
  <c r="L4" i="2"/>
  <c r="M4" i="2"/>
  <c r="N4" i="2"/>
  <c r="O4" i="2"/>
  <c r="R11" i="2"/>
  <c r="P21" i="8"/>
  <c r="R7" i="1"/>
  <c r="R18" i="1"/>
  <c r="P18" i="8"/>
  <c r="R9" i="2"/>
  <c r="I17" i="1"/>
  <c r="H4" i="1"/>
  <c r="I10" i="1"/>
  <c r="I21" i="1"/>
  <c r="N9" i="1"/>
  <c r="R10" i="1"/>
  <c r="N7" i="1"/>
  <c r="P11" i="8"/>
  <c r="R12" i="2"/>
  <c r="P6" i="8"/>
  <c r="R14" i="1"/>
  <c r="H6" i="1"/>
  <c r="N11" i="1"/>
  <c r="H9" i="1"/>
  <c r="O21" i="1"/>
  <c r="O6" i="1"/>
  <c r="I14" i="1"/>
  <c r="R17" i="1"/>
  <c r="G1" i="8"/>
  <c r="P20" i="8"/>
  <c r="N19" i="1"/>
  <c r="H20" i="1"/>
  <c r="I13" i="1"/>
  <c r="H15" i="1"/>
  <c r="N5" i="1"/>
  <c r="I5" i="1"/>
  <c r="F24" i="3"/>
  <c r="F9" i="3"/>
  <c r="F27" i="3"/>
  <c r="F20" i="3"/>
  <c r="E6" i="3"/>
  <c r="E18" i="3"/>
  <c r="E4" i="3"/>
  <c r="E24" i="3"/>
  <c r="F19" i="3"/>
  <c r="F17" i="3"/>
  <c r="E13" i="3"/>
  <c r="F11" i="3"/>
  <c r="P10" i="8"/>
  <c r="P22" i="8"/>
  <c r="P14" i="8"/>
  <c r="G1" i="4"/>
  <c r="R14" i="2"/>
  <c r="R20" i="1"/>
  <c r="N6" i="1"/>
  <c r="I4" i="1"/>
  <c r="O13" i="1"/>
  <c r="H5" i="1"/>
  <c r="O16" i="1"/>
  <c r="H10" i="1"/>
  <c r="I18" i="1"/>
  <c r="P8" i="8"/>
  <c r="R6" i="1"/>
  <c r="G1" i="2"/>
  <c r="R11" i="1"/>
  <c r="I6" i="1"/>
  <c r="I20" i="1"/>
  <c r="N13" i="1"/>
  <c r="O7" i="1"/>
  <c r="R13" i="1"/>
  <c r="I16" i="1"/>
  <c r="P23" i="8"/>
  <c r="P25" i="8"/>
  <c r="P5" i="8"/>
  <c r="O4" i="1"/>
  <c r="H14" i="1"/>
  <c r="O9" i="1"/>
  <c r="O20" i="1"/>
  <c r="R7" i="2"/>
  <c r="H18" i="1"/>
  <c r="E21" i="3"/>
  <c r="E14" i="3"/>
  <c r="F26" i="3"/>
  <c r="E23" i="3"/>
  <c r="E8" i="3"/>
  <c r="E11" i="3"/>
  <c r="F4" i="3"/>
  <c r="E19" i="3"/>
  <c r="E9" i="3"/>
  <c r="E22" i="3"/>
  <c r="F22" i="3"/>
  <c r="F13" i="3"/>
  <c r="R5" i="2"/>
  <c r="P17" i="8"/>
  <c r="R16" i="1"/>
  <c r="R10" i="2"/>
  <c r="R5" i="1"/>
  <c r="R13" i="2"/>
  <c r="N12" i="1"/>
  <c r="N21" i="1"/>
  <c r="O8" i="1"/>
  <c r="H19" i="1"/>
  <c r="O15" i="1"/>
  <c r="O19" i="1"/>
  <c r="I12" i="1"/>
  <c r="P15" i="8"/>
  <c r="P9" i="8"/>
  <c r="P19" i="8"/>
  <c r="P28" i="8"/>
  <c r="O14" i="1"/>
  <c r="H12" i="1"/>
  <c r="O17" i="1"/>
  <c r="N4" i="1"/>
  <c r="I19" i="1"/>
  <c r="N8" i="1"/>
  <c r="P26" i="8"/>
  <c r="R9" i="1"/>
  <c r="P16" i="8"/>
  <c r="H13" i="1"/>
  <c r="N18" i="1"/>
  <c r="N14" i="1"/>
  <c r="N15" i="1"/>
  <c r="N20" i="1"/>
  <c r="O10" i="1"/>
  <c r="E5" i="3"/>
  <c r="F12" i="3"/>
  <c r="F25" i="3"/>
  <c r="F5" i="3"/>
  <c r="F23" i="3"/>
  <c r="E10" i="3"/>
  <c r="F15" i="3"/>
  <c r="F6" i="3"/>
  <c r="E12" i="3"/>
  <c r="E7" i="3"/>
  <c r="F10" i="3"/>
  <c r="R6" i="2"/>
  <c r="R12" i="1"/>
  <c r="P7" i="8"/>
  <c r="R15" i="1"/>
  <c r="R8" i="2"/>
  <c r="P27" i="8"/>
  <c r="H7" i="1"/>
  <c r="H8" i="1"/>
  <c r="O18" i="1"/>
  <c r="O11" i="1"/>
  <c r="N17" i="1"/>
  <c r="H11" i="1"/>
  <c r="H16" i="1"/>
  <c r="R8" i="1"/>
  <c r="R19" i="1"/>
  <c r="P13" i="8"/>
  <c r="P12" i="8"/>
  <c r="I9" i="1"/>
  <c r="I15" i="1"/>
  <c r="O12" i="1"/>
  <c r="O5" i="1"/>
  <c r="H17" i="1"/>
  <c r="P24" i="8"/>
  <c r="R21" i="1"/>
  <c r="R4" i="1"/>
  <c r="R15" i="2"/>
  <c r="I8" i="1"/>
  <c r="N16" i="1"/>
  <c r="I11" i="1"/>
  <c r="H21" i="1"/>
  <c r="I7" i="1"/>
  <c r="N10" i="1"/>
  <c r="E15" i="3"/>
  <c r="E17" i="3"/>
  <c r="F7" i="3"/>
  <c r="F16" i="3"/>
  <c r="F21" i="3"/>
  <c r="E16" i="3"/>
  <c r="E20" i="3"/>
  <c r="F14" i="3"/>
  <c r="F18" i="3"/>
  <c r="B11" i="3"/>
  <c r="F8" i="3"/>
  <c r="L19" i="4" l="1"/>
  <c r="M22" i="4"/>
  <c r="L22" i="4" s="1"/>
  <c r="K22" i="4" s="1"/>
  <c r="J22" i="4" s="1"/>
  <c r="L20" i="4"/>
  <c r="K19" i="4" s="1"/>
  <c r="L21" i="4"/>
  <c r="K21" i="4" s="1"/>
  <c r="J21" i="4" s="1"/>
  <c r="I21" i="4" s="1"/>
  <c r="H21" i="4" s="1"/>
  <c r="S12" i="2"/>
  <c r="Q20" i="1"/>
  <c r="S20" i="1" s="1"/>
  <c r="Q16" i="1"/>
  <c r="S16" i="1" s="1"/>
  <c r="O6" i="8"/>
  <c r="S14" i="2"/>
  <c r="S13" i="2"/>
  <c r="S6" i="2"/>
  <c r="Q19" i="1"/>
  <c r="S19" i="1" s="1"/>
  <c r="Q15" i="1"/>
  <c r="S15" i="1" s="1"/>
  <c r="Q10" i="1"/>
  <c r="S10" i="1" s="1"/>
  <c r="Q8" i="1"/>
  <c r="S8" i="1" s="1"/>
  <c r="O18" i="8"/>
  <c r="O26" i="8"/>
  <c r="Q11" i="1"/>
  <c r="S11" i="1" s="1"/>
  <c r="O12" i="8"/>
  <c r="S11" i="2"/>
  <c r="S8" i="2"/>
  <c r="Q18" i="1"/>
  <c r="S18" i="1" s="1"/>
  <c r="Q14" i="1"/>
  <c r="S14" i="1" s="1"/>
  <c r="Q13" i="1"/>
  <c r="S13" i="1" s="1"/>
  <c r="O8" i="8"/>
  <c r="O25" i="8"/>
  <c r="S15" i="2"/>
  <c r="S7" i="2"/>
  <c r="S10" i="2"/>
  <c r="S9" i="2"/>
  <c r="Q21" i="1"/>
  <c r="S21" i="1" s="1"/>
  <c r="Q17" i="1"/>
  <c r="S17" i="1" s="1"/>
  <c r="Q12" i="1"/>
  <c r="S12" i="1" s="1"/>
  <c r="O15" i="8"/>
  <c r="O17" i="8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Q7" i="1"/>
  <c r="S7" i="1" s="1"/>
  <c r="O11" i="8"/>
  <c r="O20" i="8"/>
  <c r="O23" i="8"/>
  <c r="S5" i="2"/>
  <c r="Q6" i="1"/>
  <c r="S6" i="1" s="1"/>
  <c r="O10" i="8"/>
  <c r="O21" i="8"/>
  <c r="O22" i="8"/>
  <c r="Q4" i="1"/>
  <c r="S4" i="1" s="1"/>
  <c r="Q9" i="1"/>
  <c r="S9" i="1" s="1"/>
  <c r="Q5" i="1"/>
  <c r="S5" i="1" s="1"/>
  <c r="O13" i="8"/>
  <c r="O9" i="8"/>
  <c r="O7" i="8"/>
  <c r="O14" i="8"/>
  <c r="O16" i="8"/>
  <c r="O19" i="8"/>
  <c r="O24" i="8"/>
  <c r="O27" i="8"/>
  <c r="N26" i="8" s="1"/>
  <c r="K20" i="4" l="1"/>
  <c r="J20" i="4" s="1"/>
  <c r="I20" i="4" s="1"/>
  <c r="H20" i="4" s="1"/>
  <c r="G20" i="4" s="1"/>
  <c r="F20" i="4" s="1"/>
  <c r="N20" i="8"/>
  <c r="S16" i="2"/>
  <c r="S17" i="2" s="1"/>
  <c r="N6" i="8"/>
  <c r="N17" i="8"/>
  <c r="N14" i="8"/>
  <c r="N23" i="8"/>
  <c r="N27" i="8"/>
  <c r="N10" i="8"/>
  <c r="N11" i="8"/>
  <c r="N18" i="8"/>
  <c r="N8" i="8"/>
  <c r="N9" i="8"/>
  <c r="N22" i="8"/>
  <c r="N15" i="8"/>
  <c r="N12" i="8"/>
  <c r="N19" i="8"/>
  <c r="N24" i="8"/>
  <c r="N13" i="8"/>
  <c r="N21" i="8"/>
  <c r="N16" i="8"/>
  <c r="N7" i="8"/>
  <c r="M6" i="8" s="1"/>
  <c r="N25" i="8"/>
  <c r="M24" i="8" s="1"/>
  <c r="M27" i="8"/>
  <c r="M14" i="8" l="1"/>
  <c r="J19" i="4"/>
  <c r="I19" i="4" s="1"/>
  <c r="H19" i="4" s="1"/>
  <c r="G19" i="4" s="1"/>
  <c r="F19" i="4" s="1"/>
  <c r="E19" i="4" s="1"/>
  <c r="M12" i="8"/>
  <c r="M16" i="8"/>
  <c r="M23" i="8"/>
  <c r="M18" i="8"/>
  <c r="M20" i="8"/>
  <c r="M11" i="8"/>
  <c r="M22" i="8"/>
  <c r="M8" i="8"/>
  <c r="M7" i="8"/>
  <c r="L6" i="8" s="1"/>
  <c r="M15" i="8"/>
  <c r="M10" i="8"/>
  <c r="M19" i="8"/>
  <c r="M17" i="8"/>
  <c r="M26" i="8"/>
  <c r="M9" i="8"/>
  <c r="M13" i="8"/>
  <c r="M21" i="8"/>
  <c r="M25" i="8"/>
  <c r="L24" i="8" l="1"/>
  <c r="L12" i="8"/>
  <c r="L20" i="8"/>
  <c r="L16" i="8"/>
  <c r="L19" i="8"/>
  <c r="L7" i="8"/>
  <c r="K6" i="8" s="1"/>
  <c r="L17" i="8"/>
  <c r="L22" i="8"/>
  <c r="L14" i="8"/>
  <c r="L21" i="8"/>
  <c r="L8" i="8"/>
  <c r="L25" i="8"/>
  <c r="L9" i="8"/>
  <c r="L11" i="8"/>
  <c r="L10" i="8"/>
  <c r="L26" i="8"/>
  <c r="K25" i="8" s="1"/>
  <c r="L23" i="8"/>
  <c r="L27" i="8"/>
  <c r="L18" i="8"/>
  <c r="K17" i="8" s="1"/>
  <c r="L13" i="8"/>
  <c r="L15" i="8"/>
  <c r="K11" i="8" l="1"/>
  <c r="K20" i="8"/>
  <c r="K9" i="8"/>
  <c r="K7" i="8"/>
  <c r="J6" i="8" s="1"/>
  <c r="K10" i="8"/>
  <c r="K27" i="8"/>
  <c r="K26" i="8"/>
  <c r="J27" i="8" s="1"/>
  <c r="K12" i="8"/>
  <c r="K22" i="8"/>
  <c r="K8" i="8"/>
  <c r="K21" i="8"/>
  <c r="K14" i="8"/>
  <c r="K13" i="8"/>
  <c r="K23" i="8"/>
  <c r="K24" i="8"/>
  <c r="K15" i="8"/>
  <c r="K18" i="8"/>
  <c r="K19" i="8"/>
  <c r="K16" i="8"/>
  <c r="J11" i="8" l="1"/>
  <c r="J26" i="8"/>
  <c r="J22" i="8"/>
  <c r="J7" i="8"/>
  <c r="I6" i="8" s="1"/>
  <c r="J12" i="8"/>
  <c r="J21" i="8"/>
  <c r="J23" i="8"/>
  <c r="J9" i="8"/>
  <c r="J8" i="8"/>
  <c r="J15" i="8"/>
  <c r="J10" i="8"/>
  <c r="J17" i="8"/>
  <c r="J13" i="8"/>
  <c r="I12" i="8" s="1"/>
  <c r="J18" i="8"/>
  <c r="J19" i="8"/>
  <c r="J20" i="8"/>
  <c r="J14" i="8"/>
  <c r="I13" i="8" s="1"/>
  <c r="J24" i="8"/>
  <c r="J16" i="8"/>
  <c r="J25" i="8"/>
  <c r="I24" i="8" s="1"/>
  <c r="I27" i="8"/>
  <c r="I21" i="8" l="1"/>
  <c r="I8" i="8"/>
  <c r="I22" i="8"/>
  <c r="I23" i="8"/>
  <c r="I7" i="8"/>
  <c r="H6" i="8" s="1"/>
  <c r="I9" i="8"/>
  <c r="I11" i="8"/>
  <c r="H12" i="8" s="1"/>
  <c r="I10" i="8"/>
  <c r="H9" i="8" s="1"/>
  <c r="I16" i="8"/>
  <c r="I15" i="8"/>
  <c r="I19" i="8"/>
  <c r="I20" i="8"/>
  <c r="I26" i="8"/>
  <c r="H27" i="8" s="1"/>
  <c r="I14" i="8"/>
  <c r="H13" i="8" s="1"/>
  <c r="I18" i="8"/>
  <c r="I25" i="8"/>
  <c r="H24" i="8" s="1"/>
  <c r="I17" i="8"/>
  <c r="H23" i="8" l="1"/>
  <c r="H22" i="8"/>
  <c r="H16" i="8"/>
  <c r="H21" i="8"/>
  <c r="G22" i="8" s="1"/>
  <c r="H8" i="8"/>
  <c r="H26" i="8"/>
  <c r="G27" i="8" s="1"/>
  <c r="H7" i="8"/>
  <c r="G6" i="8" s="1"/>
  <c r="H10" i="8"/>
  <c r="H17" i="8"/>
  <c r="H11" i="8"/>
  <c r="H18" i="8"/>
  <c r="H14" i="8"/>
  <c r="G13" i="8" s="1"/>
  <c r="H25" i="8"/>
  <c r="G24" i="8" s="1"/>
  <c r="H15" i="8"/>
  <c r="G23" i="8"/>
  <c r="H19" i="8"/>
  <c r="H20" i="8"/>
  <c r="G11" i="8" l="1"/>
  <c r="G18" i="8"/>
  <c r="G9" i="8"/>
  <c r="G7" i="8"/>
  <c r="F6" i="8" s="1"/>
  <c r="G8" i="8"/>
  <c r="G14" i="8"/>
  <c r="G17" i="8"/>
  <c r="G19" i="8"/>
  <c r="F23" i="8"/>
  <c r="G10" i="8"/>
  <c r="F10" i="8" s="1"/>
  <c r="G12" i="8"/>
  <c r="G21" i="8"/>
  <c r="F22" i="8" s="1"/>
  <c r="G26" i="8"/>
  <c r="F27" i="8" s="1"/>
  <c r="G15" i="8"/>
  <c r="G20" i="8"/>
  <c r="F19" i="8" s="1"/>
  <c r="G25" i="8"/>
  <c r="F24" i="8" s="1"/>
  <c r="G16" i="8"/>
  <c r="F11" i="8" l="1"/>
  <c r="F7" i="8"/>
  <c r="F14" i="8"/>
  <c r="F26" i="8"/>
  <c r="F8" i="8"/>
  <c r="F9" i="8"/>
  <c r="F13" i="8"/>
  <c r="F15" i="8"/>
  <c r="F18" i="8"/>
  <c r="F12" i="8"/>
  <c r="F25" i="8"/>
  <c r="F20" i="8"/>
  <c r="F16" i="8"/>
  <c r="F21" i="8"/>
  <c r="F17" i="8"/>
</calcChain>
</file>

<file path=xl/sharedStrings.xml><?xml version="1.0" encoding="utf-8"?>
<sst xmlns="http://schemas.openxmlformats.org/spreadsheetml/2006/main" count="190" uniqueCount="84">
  <si>
    <t>S</t>
  </si>
  <si>
    <t>K</t>
  </si>
  <si>
    <t>T</t>
  </si>
  <si>
    <t>r</t>
  </si>
  <si>
    <t>b</t>
  </si>
  <si>
    <t>typ</t>
  </si>
  <si>
    <t>H</t>
  </si>
  <si>
    <t>sigma1</t>
  </si>
  <si>
    <t>sigma2</t>
  </si>
  <si>
    <t>W</t>
  </si>
  <si>
    <t>cdo</t>
  </si>
  <si>
    <t>cuo</t>
  </si>
  <si>
    <t>cdi</t>
  </si>
  <si>
    <t>cui</t>
  </si>
  <si>
    <t>pdi</t>
  </si>
  <si>
    <t>pdo</t>
  </si>
  <si>
    <t>puo</t>
  </si>
  <si>
    <t>pui</t>
  </si>
  <si>
    <t>N</t>
  </si>
  <si>
    <t>sigma</t>
  </si>
  <si>
    <t>u</t>
  </si>
  <si>
    <t>d</t>
  </si>
  <si>
    <t>delta_t</t>
  </si>
  <si>
    <t>p</t>
  </si>
  <si>
    <t>1-p</t>
  </si>
  <si>
    <t>prawdop_sciezki</t>
  </si>
  <si>
    <t>prawdop_uderz_bar</t>
  </si>
  <si>
    <t>wartosc_opcji</t>
  </si>
  <si>
    <t>Put(1)/Call(-1)</t>
  </si>
  <si>
    <t>cena_opcji</t>
  </si>
  <si>
    <t>suma(sigma1)</t>
  </si>
  <si>
    <t>call/put</t>
  </si>
  <si>
    <t>M</t>
  </si>
  <si>
    <t>S_max</t>
  </si>
  <si>
    <t>j</t>
  </si>
  <si>
    <t>i</t>
  </si>
  <si>
    <t>delta_S</t>
  </si>
  <si>
    <t>j*delta_S</t>
  </si>
  <si>
    <t>DF</t>
  </si>
  <si>
    <t>a_j</t>
  </si>
  <si>
    <t>b_j</t>
  </si>
  <si>
    <t>c_j</t>
  </si>
  <si>
    <t>suma_k</t>
  </si>
  <si>
    <t>cena_BrownianBridge</t>
  </si>
  <si>
    <t>cena_BinomialTree</t>
  </si>
  <si>
    <t>dokładna_cena</t>
  </si>
  <si>
    <t>c</t>
  </si>
  <si>
    <t>In(i)/Out(o)</t>
  </si>
  <si>
    <t>dokladna wartosc</t>
  </si>
  <si>
    <t>dokladna cena</t>
  </si>
  <si>
    <t>suma_kontrolna</t>
  </si>
  <si>
    <t>o</t>
  </si>
  <si>
    <t>cena</t>
  </si>
  <si>
    <t>X_max</t>
  </si>
  <si>
    <t>dokl_cena</t>
  </si>
  <si>
    <t>Put(p)/Call(c)</t>
  </si>
  <si>
    <t>różnica</t>
  </si>
  <si>
    <t>dokładna wartość</t>
  </si>
  <si>
    <t>cena spot</t>
  </si>
  <si>
    <t>rabat</t>
  </si>
  <si>
    <t>czas trwania opcji</t>
  </si>
  <si>
    <t>stopa wolna od ryzyka</t>
  </si>
  <si>
    <t>r-q  gdzie q -stała stopa dywidendy</t>
  </si>
  <si>
    <t>zmiennosc</t>
  </si>
  <si>
    <t>strike</t>
  </si>
  <si>
    <t>bariera</t>
  </si>
  <si>
    <t>call-down-out</t>
  </si>
  <si>
    <t>call-down-in</t>
  </si>
  <si>
    <t>call-up-out</t>
  </si>
  <si>
    <t>call-up-in</t>
  </si>
  <si>
    <t>put-down-in</t>
  </si>
  <si>
    <t>put-down-out</t>
  </si>
  <si>
    <t>put-up-out</t>
  </si>
  <si>
    <t>put-up-in</t>
  </si>
  <si>
    <t>dla opcji z W=0 i b=r zachodzi call-put parity dla opcji barierowych</t>
  </si>
  <si>
    <t xml:space="preserve">Wycena metodą drzewka dwumianowego </t>
  </si>
  <si>
    <t>Tam gdzie cena akcji dotyka lub przekracza barierę, wartość opcji wynosi 0</t>
  </si>
  <si>
    <t>Zmodyfikowana metoda drzewka</t>
  </si>
  <si>
    <t>Obliczamy prawdopodobieństwo, że dla danego scenariusza końcowego ,cena akcji uderzyła w barierę podczas trwania opcji</t>
  </si>
  <si>
    <t>Widzimy, że metoda z liczeniem prawdopodobieństwa szybciej zbiega</t>
  </si>
  <si>
    <t>do dokładnej ceny opcji</t>
  </si>
  <si>
    <t>Jawna metoda Eulera zastosowana do równania Blacka-Scholesa</t>
  </si>
  <si>
    <t>Nijawna metoda Eulera zastosowana</t>
  </si>
  <si>
    <t>do rów BS, cenę opcji in liczymy z parytetu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</si>
</sst>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0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name val="Arial CE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1"/>
      <color theme="5" tint="-0.499984740745262"/>
      <name val="Calibri"/>
      <family val="2"/>
      <charset val="238"/>
      <scheme val="minor"/>
    </font>
    <font>
      <sz val="11"/>
      <color theme="5" tint="-0.499984740745262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1">
    <xf numFmtId="0" fontId="0" fillId="0" borderId="0" xfId="0"/>
    <xf numFmtId="164" fontId="0" fillId="0" borderId="0" xfId="0" applyNumberFormat="1"/>
    <xf numFmtId="0" fontId="0" fillId="0" borderId="0" xfId="0" applyFill="1"/>
    <xf numFmtId="0" fontId="0" fillId="8" borderId="0" xfId="0" applyFill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0" xfId="0" applyFont="1"/>
    <xf numFmtId="164" fontId="0" fillId="0" borderId="0" xfId="0" applyNumberFormat="1" applyFont="1"/>
    <xf numFmtId="0" fontId="7" fillId="0" borderId="2" xfId="0" applyFont="1" applyFill="1" applyBorder="1"/>
    <xf numFmtId="0" fontId="7" fillId="0" borderId="4" xfId="0" applyFont="1" applyFill="1" applyBorder="1"/>
    <xf numFmtId="0" fontId="7" fillId="0" borderId="6" xfId="0" applyFont="1" applyFill="1" applyBorder="1"/>
    <xf numFmtId="0" fontId="5" fillId="0" borderId="10" xfId="0" applyFont="1" applyBorder="1"/>
    <xf numFmtId="0" fontId="0" fillId="9" borderId="0" xfId="0" applyFont="1" applyFill="1" applyAlignment="1">
      <alignment horizontal="left"/>
    </xf>
    <xf numFmtId="0" fontId="0" fillId="3" borderId="11" xfId="0" applyFont="1" applyFill="1" applyBorder="1" applyAlignment="1">
      <alignment horizontal="left"/>
    </xf>
    <xf numFmtId="0" fontId="0" fillId="2" borderId="11" xfId="0" applyFont="1" applyFill="1" applyBorder="1" applyAlignment="1">
      <alignment horizontal="left"/>
    </xf>
    <xf numFmtId="0" fontId="0" fillId="5" borderId="11" xfId="0" applyFont="1" applyFill="1" applyBorder="1" applyAlignment="1">
      <alignment horizontal="left"/>
    </xf>
    <xf numFmtId="0" fontId="0" fillId="4" borderId="11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4" fillId="11" borderId="1" xfId="0" applyFont="1" applyFill="1" applyBorder="1" applyAlignment="1">
      <alignment horizontal="left"/>
    </xf>
    <xf numFmtId="0" fontId="4" fillId="11" borderId="14" xfId="0" applyFont="1" applyFill="1" applyBorder="1" applyAlignment="1">
      <alignment horizontal="left"/>
    </xf>
    <xf numFmtId="0" fontId="0" fillId="3" borderId="12" xfId="0" applyFont="1" applyFill="1" applyBorder="1" applyAlignment="1">
      <alignment horizontal="left"/>
    </xf>
    <xf numFmtId="0" fontId="0" fillId="2" borderId="10" xfId="0" applyFont="1" applyFill="1" applyBorder="1" applyAlignment="1">
      <alignment horizontal="left"/>
    </xf>
    <xf numFmtId="0" fontId="0" fillId="2" borderId="12" xfId="0" applyFont="1" applyFill="1" applyBorder="1" applyAlignment="1">
      <alignment horizontal="left"/>
    </xf>
    <xf numFmtId="0" fontId="0" fillId="5" borderId="10" xfId="0" applyFont="1" applyFill="1" applyBorder="1" applyAlignment="1">
      <alignment horizontal="left"/>
    </xf>
    <xf numFmtId="0" fontId="0" fillId="5" borderId="12" xfId="0" applyFont="1" applyFill="1" applyBorder="1" applyAlignment="1">
      <alignment horizontal="left"/>
    </xf>
    <xf numFmtId="0" fontId="4" fillId="11" borderId="8" xfId="0" applyFont="1" applyFill="1" applyBorder="1" applyAlignment="1">
      <alignment horizontal="left"/>
    </xf>
    <xf numFmtId="0" fontId="4" fillId="11" borderId="3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13" borderId="0" xfId="0" applyFont="1" applyFill="1" applyBorder="1" applyAlignment="1">
      <alignment horizontal="right"/>
    </xf>
    <xf numFmtId="164" fontId="0" fillId="13" borderId="0" xfId="0" applyNumberFormat="1" applyFont="1" applyFill="1" applyBorder="1" applyAlignment="1">
      <alignment horizontal="right"/>
    </xf>
    <xf numFmtId="164" fontId="0" fillId="13" borderId="5" xfId="0" applyNumberFormat="1" applyFont="1" applyFill="1" applyBorder="1" applyAlignment="1">
      <alignment horizontal="right"/>
    </xf>
    <xf numFmtId="0" fontId="0" fillId="14" borderId="8" xfId="0" applyFont="1" applyFill="1" applyBorder="1" applyAlignment="1">
      <alignment horizontal="right"/>
    </xf>
    <xf numFmtId="164" fontId="0" fillId="14" borderId="8" xfId="0" applyNumberFormat="1" applyFont="1" applyFill="1" applyBorder="1" applyAlignment="1">
      <alignment horizontal="right"/>
    </xf>
    <xf numFmtId="164" fontId="0" fillId="14" borderId="3" xfId="0" applyNumberFormat="1" applyFont="1" applyFill="1" applyBorder="1" applyAlignment="1">
      <alignment horizontal="right"/>
    </xf>
    <xf numFmtId="0" fontId="0" fillId="14" borderId="0" xfId="0" applyFont="1" applyFill="1" applyBorder="1" applyAlignment="1">
      <alignment horizontal="right"/>
    </xf>
    <xf numFmtId="164" fontId="0" fillId="14" borderId="0" xfId="0" applyNumberFormat="1" applyFont="1" applyFill="1" applyBorder="1" applyAlignment="1">
      <alignment horizontal="right"/>
    </xf>
    <xf numFmtId="164" fontId="0" fillId="14" borderId="5" xfId="0" applyNumberFormat="1" applyFont="1" applyFill="1" applyBorder="1" applyAlignment="1">
      <alignment horizontal="right"/>
    </xf>
    <xf numFmtId="0" fontId="0" fillId="16" borderId="0" xfId="0" applyFont="1" applyFill="1" applyBorder="1" applyAlignment="1">
      <alignment horizontal="right"/>
    </xf>
    <xf numFmtId="164" fontId="0" fillId="16" borderId="0" xfId="0" applyNumberFormat="1" applyFont="1" applyFill="1" applyBorder="1" applyAlignment="1">
      <alignment horizontal="right"/>
    </xf>
    <xf numFmtId="164" fontId="0" fillId="16" borderId="5" xfId="0" applyNumberFormat="1" applyFont="1" applyFill="1" applyBorder="1" applyAlignment="1">
      <alignment horizontal="right"/>
    </xf>
    <xf numFmtId="0" fontId="0" fillId="12" borderId="0" xfId="0" applyFont="1" applyFill="1" applyBorder="1" applyAlignment="1">
      <alignment horizontal="right"/>
    </xf>
    <xf numFmtId="164" fontId="0" fillId="12" borderId="0" xfId="0" applyNumberFormat="1" applyFont="1" applyFill="1" applyBorder="1" applyAlignment="1">
      <alignment horizontal="right"/>
    </xf>
    <xf numFmtId="164" fontId="0" fillId="12" borderId="5" xfId="0" applyNumberFormat="1" applyFont="1" applyFill="1" applyBorder="1" applyAlignment="1">
      <alignment horizontal="right"/>
    </xf>
    <xf numFmtId="0" fontId="0" fillId="13" borderId="9" xfId="0" applyFont="1" applyFill="1" applyBorder="1" applyAlignment="1">
      <alignment horizontal="right"/>
    </xf>
    <xf numFmtId="164" fontId="0" fillId="13" borderId="9" xfId="0" applyNumberFormat="1" applyFont="1" applyFill="1" applyBorder="1" applyAlignment="1">
      <alignment horizontal="right"/>
    </xf>
    <xf numFmtId="164" fontId="0" fillId="13" borderId="7" xfId="0" applyNumberFormat="1" applyFont="1" applyFill="1" applyBorder="1" applyAlignment="1">
      <alignment horizontal="right"/>
    </xf>
    <xf numFmtId="0" fontId="0" fillId="14" borderId="9" xfId="0" applyFont="1" applyFill="1" applyBorder="1" applyAlignment="1">
      <alignment horizontal="right"/>
    </xf>
    <xf numFmtId="164" fontId="0" fillId="14" borderId="9" xfId="0" applyNumberFormat="1" applyFont="1" applyFill="1" applyBorder="1" applyAlignment="1">
      <alignment horizontal="right"/>
    </xf>
    <xf numFmtId="164" fontId="0" fillId="14" borderId="7" xfId="0" applyNumberFormat="1" applyFont="1" applyFill="1" applyBorder="1" applyAlignment="1">
      <alignment horizontal="right"/>
    </xf>
    <xf numFmtId="0" fontId="0" fillId="16" borderId="8" xfId="0" applyFont="1" applyFill="1" applyBorder="1" applyAlignment="1">
      <alignment horizontal="right"/>
    </xf>
    <xf numFmtId="164" fontId="0" fillId="16" borderId="8" xfId="0" applyNumberFormat="1" applyFont="1" applyFill="1" applyBorder="1" applyAlignment="1">
      <alignment horizontal="right"/>
    </xf>
    <xf numFmtId="164" fontId="0" fillId="16" borderId="3" xfId="0" applyNumberFormat="1" applyFont="1" applyFill="1" applyBorder="1" applyAlignment="1">
      <alignment horizontal="right"/>
    </xf>
    <xf numFmtId="0" fontId="0" fillId="16" borderId="9" xfId="0" applyFont="1" applyFill="1" applyBorder="1" applyAlignment="1">
      <alignment horizontal="right"/>
    </xf>
    <xf numFmtId="164" fontId="0" fillId="16" borderId="9" xfId="0" applyNumberFormat="1" applyFont="1" applyFill="1" applyBorder="1" applyAlignment="1">
      <alignment horizontal="right"/>
    </xf>
    <xf numFmtId="164" fontId="0" fillId="16" borderId="7" xfId="0" applyNumberFormat="1" applyFont="1" applyFill="1" applyBorder="1" applyAlignment="1">
      <alignment horizontal="right"/>
    </xf>
    <xf numFmtId="0" fontId="0" fillId="12" borderId="8" xfId="0" applyFont="1" applyFill="1" applyBorder="1" applyAlignment="1">
      <alignment horizontal="right"/>
    </xf>
    <xf numFmtId="164" fontId="0" fillId="12" borderId="8" xfId="0" applyNumberFormat="1" applyFont="1" applyFill="1" applyBorder="1" applyAlignment="1">
      <alignment horizontal="right"/>
    </xf>
    <xf numFmtId="164" fontId="0" fillId="12" borderId="3" xfId="0" applyNumberFormat="1" applyFont="1" applyFill="1" applyBorder="1" applyAlignment="1">
      <alignment horizontal="right"/>
    </xf>
    <xf numFmtId="0" fontId="0" fillId="12" borderId="9" xfId="0" applyFont="1" applyFill="1" applyBorder="1" applyAlignment="1">
      <alignment horizontal="right"/>
    </xf>
    <xf numFmtId="164" fontId="0" fillId="12" borderId="9" xfId="0" applyNumberFormat="1" applyFont="1" applyFill="1" applyBorder="1" applyAlignment="1">
      <alignment horizontal="right"/>
    </xf>
    <xf numFmtId="164" fontId="0" fillId="12" borderId="7" xfId="0" applyNumberFormat="1" applyFont="1" applyFill="1" applyBorder="1" applyAlignment="1">
      <alignment horizontal="right"/>
    </xf>
    <xf numFmtId="167" fontId="0" fillId="13" borderId="11" xfId="0" applyNumberFormat="1" applyFont="1" applyFill="1" applyBorder="1" applyAlignment="1">
      <alignment horizontal="right"/>
    </xf>
    <xf numFmtId="167" fontId="0" fillId="13" borderId="5" xfId="0" applyNumberFormat="1" applyFont="1" applyFill="1" applyBorder="1" applyAlignment="1">
      <alignment horizontal="right"/>
    </xf>
    <xf numFmtId="167" fontId="0" fillId="13" borderId="12" xfId="0" applyNumberFormat="1" applyFont="1" applyFill="1" applyBorder="1" applyAlignment="1">
      <alignment horizontal="right"/>
    </xf>
    <xf numFmtId="167" fontId="0" fillId="13" borderId="7" xfId="0" applyNumberFormat="1" applyFont="1" applyFill="1" applyBorder="1" applyAlignment="1">
      <alignment horizontal="right"/>
    </xf>
    <xf numFmtId="167" fontId="0" fillId="14" borderId="11" xfId="0" applyNumberFormat="1" applyFont="1" applyFill="1" applyBorder="1" applyAlignment="1">
      <alignment horizontal="right"/>
    </xf>
    <xf numFmtId="167" fontId="0" fillId="14" borderId="5" xfId="0" applyNumberFormat="1" applyFont="1" applyFill="1" applyBorder="1" applyAlignment="1">
      <alignment horizontal="right"/>
    </xf>
    <xf numFmtId="167" fontId="0" fillId="14" borderId="12" xfId="0" applyNumberFormat="1" applyFont="1" applyFill="1" applyBorder="1" applyAlignment="1">
      <alignment horizontal="right"/>
    </xf>
    <xf numFmtId="167" fontId="0" fillId="14" borderId="7" xfId="0" applyNumberFormat="1" applyFont="1" applyFill="1" applyBorder="1" applyAlignment="1">
      <alignment horizontal="right"/>
    </xf>
    <xf numFmtId="167" fontId="0" fillId="12" borderId="10" xfId="0" applyNumberFormat="1" applyFont="1" applyFill="1" applyBorder="1" applyAlignment="1">
      <alignment horizontal="right"/>
    </xf>
    <xf numFmtId="167" fontId="0" fillId="12" borderId="3" xfId="0" applyNumberFormat="1" applyFont="1" applyFill="1" applyBorder="1" applyAlignment="1">
      <alignment horizontal="right"/>
    </xf>
    <xf numFmtId="167" fontId="0" fillId="12" borderId="11" xfId="0" applyNumberFormat="1" applyFont="1" applyFill="1" applyBorder="1" applyAlignment="1">
      <alignment horizontal="right"/>
    </xf>
    <xf numFmtId="167" fontId="0" fillId="12" borderId="5" xfId="0" applyNumberFormat="1" applyFont="1" applyFill="1" applyBorder="1" applyAlignment="1">
      <alignment horizontal="right"/>
    </xf>
    <xf numFmtId="167" fontId="0" fillId="12" borderId="12" xfId="0" applyNumberFormat="1" applyFont="1" applyFill="1" applyBorder="1" applyAlignment="1">
      <alignment horizontal="right"/>
    </xf>
    <xf numFmtId="167" fontId="0" fillId="12" borderId="7" xfId="0" applyNumberFormat="1" applyFont="1" applyFill="1" applyBorder="1" applyAlignment="1">
      <alignment horizontal="right"/>
    </xf>
    <xf numFmtId="167" fontId="0" fillId="16" borderId="10" xfId="0" applyNumberFormat="1" applyFont="1" applyFill="1" applyBorder="1" applyAlignment="1">
      <alignment horizontal="right"/>
    </xf>
    <xf numFmtId="167" fontId="0" fillId="16" borderId="3" xfId="0" applyNumberFormat="1" applyFont="1" applyFill="1" applyBorder="1" applyAlignment="1">
      <alignment horizontal="right"/>
    </xf>
    <xf numFmtId="167" fontId="0" fillId="16" borderId="11" xfId="0" applyNumberFormat="1" applyFont="1" applyFill="1" applyBorder="1" applyAlignment="1">
      <alignment horizontal="right"/>
    </xf>
    <xf numFmtId="167" fontId="0" fillId="16" borderId="5" xfId="0" applyNumberFormat="1" applyFont="1" applyFill="1" applyBorder="1" applyAlignment="1">
      <alignment horizontal="right"/>
    </xf>
    <xf numFmtId="167" fontId="0" fillId="16" borderId="12" xfId="0" applyNumberFormat="1" applyFont="1" applyFill="1" applyBorder="1" applyAlignment="1">
      <alignment horizontal="right"/>
    </xf>
    <xf numFmtId="167" fontId="0" fillId="16" borderId="7" xfId="0" applyNumberFormat="1" applyFont="1" applyFill="1" applyBorder="1" applyAlignment="1">
      <alignment horizontal="right"/>
    </xf>
    <xf numFmtId="0" fontId="1" fillId="0" borderId="10" xfId="0" applyFont="1" applyFill="1" applyBorder="1"/>
    <xf numFmtId="0" fontId="1" fillId="0" borderId="11" xfId="0" applyFont="1" applyFill="1" applyBorder="1"/>
    <xf numFmtId="0" fontId="1" fillId="0" borderId="12" xfId="0" applyFont="1" applyFill="1" applyBorder="1"/>
    <xf numFmtId="0" fontId="4" fillId="11" borderId="0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11" xfId="0" applyNumberFormat="1" applyBorder="1"/>
    <xf numFmtId="164" fontId="0" fillId="6" borderId="0" xfId="0" applyNumberFormat="1" applyFill="1"/>
    <xf numFmtId="0" fontId="0" fillId="9" borderId="0" xfId="0" applyFill="1"/>
    <xf numFmtId="0" fontId="0" fillId="10" borderId="0" xfId="0" applyFill="1"/>
    <xf numFmtId="0" fontId="4" fillId="11" borderId="0" xfId="0" applyFont="1" applyFill="1"/>
    <xf numFmtId="0" fontId="0" fillId="0" borderId="0" xfId="0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0" xfId="0" applyNumberFormat="1" applyFill="1" applyAlignment="1">
      <alignment vertical="center"/>
    </xf>
    <xf numFmtId="166" fontId="0" fillId="0" borderId="0" xfId="0" applyNumberFormat="1" applyBorder="1"/>
    <xf numFmtId="166" fontId="4" fillId="11" borderId="0" xfId="0" applyNumberFormat="1" applyFont="1" applyFill="1" applyBorder="1"/>
    <xf numFmtId="166" fontId="6" fillId="11" borderId="0" xfId="0" applyNumberFormat="1" applyFont="1" applyFill="1" applyBorder="1"/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0" fontId="8" fillId="7" borderId="15" xfId="0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164" fontId="8" fillId="7" borderId="14" xfId="0" applyNumberFormat="1" applyFont="1" applyFill="1" applyBorder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164" fontId="8" fillId="7" borderId="1" xfId="0" applyNumberFormat="1" applyFont="1" applyFill="1" applyBorder="1" applyAlignment="1">
      <alignment vertical="center"/>
    </xf>
    <xf numFmtId="166" fontId="8" fillId="7" borderId="14" xfId="0" applyNumberFormat="1" applyFont="1" applyFill="1" applyBorder="1"/>
    <xf numFmtId="164" fontId="8" fillId="7" borderId="14" xfId="0" applyNumberFormat="1" applyFont="1" applyFill="1" applyBorder="1"/>
    <xf numFmtId="0" fontId="5" fillId="0" borderId="11" xfId="0" applyFont="1" applyBorder="1"/>
    <xf numFmtId="0" fontId="5" fillId="0" borderId="12" xfId="0" applyFont="1" applyBorder="1"/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0" xfId="0" applyAlignment="1">
      <alignment horizontal="left"/>
    </xf>
    <xf numFmtId="0" fontId="8" fillId="7" borderId="1" xfId="0" applyFont="1" applyFill="1" applyBorder="1"/>
    <xf numFmtId="0" fontId="4" fillId="11" borderId="1" xfId="0" applyFont="1" applyFill="1" applyBorder="1" applyAlignment="1">
      <alignment horizontal="center"/>
    </xf>
    <xf numFmtId="164" fontId="0" fillId="15" borderId="0" xfId="0" applyNumberFormat="1" applyFill="1"/>
    <xf numFmtId="0" fontId="0" fillId="15" borderId="0" xfId="0" applyFill="1"/>
    <xf numFmtId="0" fontId="0" fillId="0" borderId="15" xfId="0" applyBorder="1"/>
    <xf numFmtId="0" fontId="0" fillId="0" borderId="14" xfId="0" applyBorder="1"/>
    <xf numFmtId="0" fontId="0" fillId="9" borderId="0" xfId="0" applyFill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5" fillId="7" borderId="15" xfId="0" applyFont="1" applyFill="1" applyBorder="1"/>
    <xf numFmtId="0" fontId="5" fillId="7" borderId="14" xfId="0" applyFont="1" applyFill="1" applyBorder="1"/>
    <xf numFmtId="0" fontId="0" fillId="0" borderId="15" xfId="0" applyFill="1" applyBorder="1"/>
    <xf numFmtId="0" fontId="0" fillId="0" borderId="14" xfId="0" applyFill="1" applyBorder="1"/>
    <xf numFmtId="164" fontId="0" fillId="0" borderId="0" xfId="0" applyNumberFormat="1" applyFill="1"/>
    <xf numFmtId="0" fontId="4" fillId="0" borderId="0" xfId="0" applyFont="1" applyFill="1"/>
    <xf numFmtId="0" fontId="9" fillId="7" borderId="1" xfId="0" applyFont="1" applyFill="1" applyBorder="1"/>
    <xf numFmtId="0" fontId="0" fillId="0" borderId="0" xfId="0" applyFont="1" applyFill="1" applyBorder="1"/>
    <xf numFmtId="0" fontId="7" fillId="0" borderId="0" xfId="0" applyFont="1" applyFill="1" applyBorder="1"/>
    <xf numFmtId="0" fontId="1" fillId="17" borderId="0" xfId="0" applyFont="1" applyFill="1"/>
    <xf numFmtId="0" fontId="8" fillId="6" borderId="15" xfId="0" applyFont="1" applyFill="1" applyBorder="1" applyAlignment="1">
      <alignment horizontal="center"/>
    </xf>
    <xf numFmtId="0" fontId="8" fillId="6" borderId="14" xfId="0" applyFont="1" applyFill="1" applyBorder="1" applyAlignment="1">
      <alignment horizont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colors>
    <mruColors>
      <color rgb="FFCC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34576061204033E-2"/>
          <c:y val="2.6940491674110518E-2"/>
          <c:w val="0.74736210893346355"/>
          <c:h val="0.89299543021659455"/>
        </c:manualLayout>
      </c:layout>
      <c:scatterChart>
        <c:scatterStyle val="smoothMarker"/>
        <c:varyColors val="0"/>
        <c:ser>
          <c:idx val="0"/>
          <c:order val="0"/>
          <c:tx>
            <c:v>BrownianBridge</c:v>
          </c:tx>
          <c:marker>
            <c:symbol val="none"/>
          </c:marker>
          <c:xVal>
            <c:numRef>
              <c:f>BrownianBridgeVBA!$D$4:$D$24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BrownianBridgeVBA!$E$4:$E$24</c:f>
              <c:numCache>
                <c:formatCode>General</c:formatCode>
                <c:ptCount val="21"/>
                <c:pt idx="0">
                  <c:v>7.8187090021797001</c:v>
                </c:pt>
                <c:pt idx="1">
                  <c:v>7.7817480594170885</c:v>
                </c:pt>
                <c:pt idx="2">
                  <c:v>7.7870601982725098</c:v>
                </c:pt>
                <c:pt idx="3">
                  <c:v>7.7851367008805541</c:v>
                </c:pt>
                <c:pt idx="4">
                  <c:v>7.7831630382285732</c:v>
                </c:pt>
                <c:pt idx="5">
                  <c:v>7.7844346198942382</c:v>
                </c:pt>
                <c:pt idx="6">
                  <c:v>7.7846255713842325</c:v>
                </c:pt>
                <c:pt idx="7">
                  <c:v>7.7842323257100041</c:v>
                </c:pt>
                <c:pt idx="8">
                  <c:v>7.7835198856236065</c:v>
                </c:pt>
                <c:pt idx="9">
                  <c:v>7.7833526341689891</c:v>
                </c:pt>
                <c:pt idx="10">
                  <c:v>7.7837941939132431</c:v>
                </c:pt>
                <c:pt idx="11">
                  <c:v>7.7839764212557423</c:v>
                </c:pt>
                <c:pt idx="12">
                  <c:v>7.7839683489139064</c:v>
                </c:pt>
                <c:pt idx="13">
                  <c:v>7.7838200166906937</c:v>
                </c:pt>
                <c:pt idx="14">
                  <c:v>7.7835680229906119</c:v>
                </c:pt>
                <c:pt idx="15">
                  <c:v>7.7832394022035203</c:v>
                </c:pt>
                <c:pt idx="16">
                  <c:v>7.783392595999004</c:v>
                </c:pt>
                <c:pt idx="17">
                  <c:v>7.783585406358501</c:v>
                </c:pt>
                <c:pt idx="18">
                  <c:v>7.7836914975411737</c:v>
                </c:pt>
                <c:pt idx="19">
                  <c:v>7.7837255685083129</c:v>
                </c:pt>
                <c:pt idx="20">
                  <c:v>7.7836997251620037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510-49C5-B172-4637B2CF06D3}"/>
            </c:ext>
          </c:extLst>
        </c:ser>
        <c:ser>
          <c:idx val="1"/>
          <c:order val="1"/>
          <c:tx>
            <c:v>BinomialTree</c:v>
          </c:tx>
          <c:marker>
            <c:symbol val="none"/>
          </c:marker>
          <c:xVal>
            <c:numRef>
              <c:f>BrownianBridgeVBA!$D$4:$D$24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BrownianBridgeVBA!$F$4:$F$24</c:f>
              <c:numCache>
                <c:formatCode>General</c:formatCode>
                <c:ptCount val="21"/>
                <c:pt idx="0">
                  <c:v>8.3122648943166144</c:v>
                </c:pt>
                <c:pt idx="1">
                  <c:v>10.201400176049999</c:v>
                </c:pt>
                <c:pt idx="2">
                  <c:v>7.9843909900176504</c:v>
                </c:pt>
                <c:pt idx="3">
                  <c:v>8.5100678442347153</c:v>
                </c:pt>
                <c:pt idx="4">
                  <c:v>9.0086340004553609</c:v>
                </c:pt>
                <c:pt idx="5">
                  <c:v>8.3060266939539016</c:v>
                </c:pt>
                <c:pt idx="6">
                  <c:v>8.8796948075873949</c:v>
                </c:pt>
                <c:pt idx="7">
                  <c:v>8.3945815968018209</c:v>
                </c:pt>
                <c:pt idx="8">
                  <c:v>7.9851018774347517</c:v>
                </c:pt>
                <c:pt idx="9">
                  <c:v>8.5709078766330435</c:v>
                </c:pt>
                <c:pt idx="10">
                  <c:v>8.2435899788337164</c:v>
                </c:pt>
                <c:pt idx="11">
                  <c:v>7.9531118481357437</c:v>
                </c:pt>
                <c:pt idx="12">
                  <c:v>8.5071438216278192</c:v>
                </c:pt>
                <c:pt idx="13">
                  <c:v>8.2587834172350512</c:v>
                </c:pt>
                <c:pt idx="14">
                  <c:v>8.0321840891773153</c:v>
                </c:pt>
                <c:pt idx="15">
                  <c:v>7.8242941084081599</c:v>
                </c:pt>
                <c:pt idx="16">
                  <c:v>8.3442051768457777</c:v>
                </c:pt>
                <c:pt idx="17">
                  <c:v>8.1576200672936281</c:v>
                </c:pt>
                <c:pt idx="18">
                  <c:v>7.9837310692239081</c:v>
                </c:pt>
                <c:pt idx="19">
                  <c:v>7.8211370416026051</c:v>
                </c:pt>
                <c:pt idx="20">
                  <c:v>8.306276793677128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510-49C5-B172-4637B2CF06D3}"/>
            </c:ext>
          </c:extLst>
        </c:ser>
        <c:ser>
          <c:idx val="2"/>
          <c:order val="2"/>
          <c:tx>
            <c:v>DokładnaCena</c:v>
          </c:tx>
          <c:marker>
            <c:symbol val="none"/>
          </c:marker>
          <c:xVal>
            <c:numRef>
              <c:f>BrownianBridgeVBA!$D$4:$D$24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BrownianBridgeVBA!$G$4:$G$24</c:f>
              <c:numCache>
                <c:formatCode>General</c:formatCode>
                <c:ptCount val="21"/>
                <c:pt idx="0">
                  <c:v>7.7833181406411853</c:v>
                </c:pt>
                <c:pt idx="1">
                  <c:v>7.7833181406411853</c:v>
                </c:pt>
                <c:pt idx="2">
                  <c:v>7.7833181406411853</c:v>
                </c:pt>
                <c:pt idx="3">
                  <c:v>7.7833181406411853</c:v>
                </c:pt>
                <c:pt idx="4">
                  <c:v>7.7833181406411853</c:v>
                </c:pt>
                <c:pt idx="5">
                  <c:v>7.7833181406411853</c:v>
                </c:pt>
                <c:pt idx="6">
                  <c:v>7.7833181406411853</c:v>
                </c:pt>
                <c:pt idx="7">
                  <c:v>7.7833181406411853</c:v>
                </c:pt>
                <c:pt idx="8">
                  <c:v>7.7833181406411853</c:v>
                </c:pt>
                <c:pt idx="9">
                  <c:v>7.7833181406411853</c:v>
                </c:pt>
                <c:pt idx="10">
                  <c:v>7.7833181406411853</c:v>
                </c:pt>
                <c:pt idx="11">
                  <c:v>7.7833181406411853</c:v>
                </c:pt>
                <c:pt idx="12">
                  <c:v>7.7833181406411853</c:v>
                </c:pt>
                <c:pt idx="13">
                  <c:v>7.7833181406411853</c:v>
                </c:pt>
                <c:pt idx="14">
                  <c:v>7.7833181406411853</c:v>
                </c:pt>
                <c:pt idx="15">
                  <c:v>7.7833181406411853</c:v>
                </c:pt>
                <c:pt idx="16">
                  <c:v>7.7833181406411853</c:v>
                </c:pt>
                <c:pt idx="17">
                  <c:v>7.7833181406411853</c:v>
                </c:pt>
                <c:pt idx="18">
                  <c:v>7.7833181406411853</c:v>
                </c:pt>
                <c:pt idx="19">
                  <c:v>7.7833181406411853</c:v>
                </c:pt>
                <c:pt idx="20">
                  <c:v>7.7833181406411853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510-49C5-B172-4637B2CF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69856"/>
        <c:axId val="206988032"/>
      </c:scatterChart>
      <c:valAx>
        <c:axId val="206969856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206988032"/>
        <c:crosses val="autoZero"/>
        <c:crossBetween val="midCat"/>
      </c:valAx>
      <c:valAx>
        <c:axId val="206988032"/>
        <c:scaling>
          <c:orientation val="minMax"/>
          <c:max val="10.5"/>
          <c:min val="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69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BrownianBridge</c:v>
          </c:tx>
          <c:xVal>
            <c:numRef>
              <c:f>BrownianBridgeVBA!$D$4:$D$24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BrownianBridgeVBA!$E$4:$E$24</c:f>
              <c:numCache>
                <c:formatCode>General</c:formatCode>
                <c:ptCount val="21"/>
                <c:pt idx="0">
                  <c:v>7.8187090021797001</c:v>
                </c:pt>
                <c:pt idx="1">
                  <c:v>7.7817480594170885</c:v>
                </c:pt>
                <c:pt idx="2">
                  <c:v>7.7870601982725098</c:v>
                </c:pt>
                <c:pt idx="3">
                  <c:v>7.7851367008805541</c:v>
                </c:pt>
                <c:pt idx="4">
                  <c:v>7.7831630382285732</c:v>
                </c:pt>
                <c:pt idx="5">
                  <c:v>7.7844346198942382</c:v>
                </c:pt>
                <c:pt idx="6">
                  <c:v>7.7846255713842325</c:v>
                </c:pt>
                <c:pt idx="7">
                  <c:v>7.7842323257100041</c:v>
                </c:pt>
                <c:pt idx="8">
                  <c:v>7.7835198856236065</c:v>
                </c:pt>
                <c:pt idx="9">
                  <c:v>7.7833526341689891</c:v>
                </c:pt>
                <c:pt idx="10">
                  <c:v>7.7837941939132431</c:v>
                </c:pt>
                <c:pt idx="11">
                  <c:v>7.7839764212557423</c:v>
                </c:pt>
                <c:pt idx="12">
                  <c:v>7.7839683489139064</c:v>
                </c:pt>
                <c:pt idx="13">
                  <c:v>7.7838200166906937</c:v>
                </c:pt>
                <c:pt idx="14">
                  <c:v>7.7835680229906119</c:v>
                </c:pt>
                <c:pt idx="15">
                  <c:v>7.7832394022035203</c:v>
                </c:pt>
                <c:pt idx="16">
                  <c:v>7.783392595999004</c:v>
                </c:pt>
                <c:pt idx="17">
                  <c:v>7.783585406358501</c:v>
                </c:pt>
                <c:pt idx="18">
                  <c:v>7.7836914975411737</c:v>
                </c:pt>
                <c:pt idx="19">
                  <c:v>7.7837255685083129</c:v>
                </c:pt>
                <c:pt idx="20">
                  <c:v>7.7836997251620037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890-4222-BBFF-8900827AE5B3}"/>
            </c:ext>
          </c:extLst>
        </c:ser>
        <c:ser>
          <c:idx val="1"/>
          <c:order val="1"/>
          <c:tx>
            <c:v>CenaDokladna</c:v>
          </c:tx>
          <c:xVal>
            <c:numRef>
              <c:f>BrownianBridgeVBA!$D$4:$D$24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BrownianBridgeVBA!$G$4:$G$24</c:f>
              <c:numCache>
                <c:formatCode>General</c:formatCode>
                <c:ptCount val="21"/>
                <c:pt idx="0">
                  <c:v>7.7833181406411853</c:v>
                </c:pt>
                <c:pt idx="1">
                  <c:v>7.7833181406411853</c:v>
                </c:pt>
                <c:pt idx="2">
                  <c:v>7.7833181406411853</c:v>
                </c:pt>
                <c:pt idx="3">
                  <c:v>7.7833181406411853</c:v>
                </c:pt>
                <c:pt idx="4">
                  <c:v>7.7833181406411853</c:v>
                </c:pt>
                <c:pt idx="5">
                  <c:v>7.7833181406411853</c:v>
                </c:pt>
                <c:pt idx="6">
                  <c:v>7.7833181406411853</c:v>
                </c:pt>
                <c:pt idx="7">
                  <c:v>7.7833181406411853</c:v>
                </c:pt>
                <c:pt idx="8">
                  <c:v>7.7833181406411853</c:v>
                </c:pt>
                <c:pt idx="9">
                  <c:v>7.7833181406411853</c:v>
                </c:pt>
                <c:pt idx="10">
                  <c:v>7.7833181406411853</c:v>
                </c:pt>
                <c:pt idx="11">
                  <c:v>7.7833181406411853</c:v>
                </c:pt>
                <c:pt idx="12">
                  <c:v>7.7833181406411853</c:v>
                </c:pt>
                <c:pt idx="13">
                  <c:v>7.7833181406411853</c:v>
                </c:pt>
                <c:pt idx="14">
                  <c:v>7.7833181406411853</c:v>
                </c:pt>
                <c:pt idx="15">
                  <c:v>7.7833181406411853</c:v>
                </c:pt>
                <c:pt idx="16">
                  <c:v>7.7833181406411853</c:v>
                </c:pt>
                <c:pt idx="17">
                  <c:v>7.7833181406411853</c:v>
                </c:pt>
                <c:pt idx="18">
                  <c:v>7.7833181406411853</c:v>
                </c:pt>
                <c:pt idx="19">
                  <c:v>7.7833181406411853</c:v>
                </c:pt>
                <c:pt idx="20">
                  <c:v>7.7833181406411853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890-4222-BBFF-8900827AE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12992"/>
        <c:axId val="207014528"/>
      </c:scatterChart>
      <c:valAx>
        <c:axId val="20701299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207014528"/>
        <c:crosses val="autoZero"/>
        <c:crossBetween val="midCat"/>
      </c:valAx>
      <c:valAx>
        <c:axId val="2070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1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128584</xdr:colOff>
      <xdr:row>0</xdr:row>
      <xdr:rowOff>35717</xdr:rowOff>
    </xdr:from>
    <xdr:to>
      <xdr:col>18</xdr:col>
      <xdr:colOff>536397</xdr:colOff>
      <xdr:row>13</xdr:row>
      <xdr:rowOff>79217</xdr:rowOff>
    </xdr:to>
    <xdr:graphicFrame macro="">
      <xdr:nvGraphicFramePr>
        <xdr:cNvPr id="2" name="Wykre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126204</xdr:colOff>
      <xdr:row>13</xdr:row>
      <xdr:rowOff>166687</xdr:rowOff>
    </xdr:from>
    <xdr:to>
      <xdr:col>18</xdr:col>
      <xdr:colOff>534017</xdr:colOff>
      <xdr:row>27</xdr:row>
      <xdr:rowOff>19687</xdr:rowOff>
    </xdr:to>
    <xdr:graphicFrame macro="">
      <xdr:nvGraphicFramePr>
        <xdr:cNvPr id="3" name="Wykres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14</xdr:row>
          <xdr:rowOff>19050</xdr:rowOff>
        </xdr:from>
        <xdr:to>
          <xdr:col>2</xdr:col>
          <xdr:colOff>590550</xdr:colOff>
          <xdr:row>18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Uruchom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19</xdr:row>
          <xdr:rowOff>123825</xdr:rowOff>
        </xdr:from>
        <xdr:to>
          <xdr:col>2</xdr:col>
          <xdr:colOff>571500</xdr:colOff>
          <xdr:row>24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S32"/>
  <sheetViews>
    <sheetView showGridLines="0" tabSelected="1" zoomScale="80" zoomScaleNormal="80" zoomScaleSheetLayoutView="90" zoomScalePageLayoutView="70" workbookViewId="0">
      <selection activeCell="C17" sqref="C17"/>
    </sheetView>
  </sheetViews>
  <sheetFormatPr defaultRowHeight="15" x14ac:dyDescent="0.25"/>
  <cols>
    <col min="1" max="2" width="7.28515625" style="7" customWidth="1"/>
    <col min="3" max="3" width="32.85546875" style="7" customWidth="1"/>
    <col min="4" max="4" width="3.28515625" style="7" customWidth="1"/>
    <col min="5" max="9" width="10.7109375" style="7" customWidth="1"/>
    <col min="10" max="10" width="1.28515625" style="7" customWidth="1"/>
    <col min="11" max="15" width="10.7109375" style="7" customWidth="1"/>
    <col min="16" max="16" width="1.140625" style="7" customWidth="1"/>
    <col min="17" max="17" width="13.42578125" style="7" bestFit="1" customWidth="1"/>
    <col min="18" max="19" width="10.7109375" style="7" customWidth="1"/>
    <col min="20" max="20" width="9.42578125" style="7" customWidth="1"/>
    <col min="21" max="16384" width="9.140625" style="7"/>
  </cols>
  <sheetData>
    <row r="1" spans="1:19" x14ac:dyDescent="0.25">
      <c r="A1" s="9" t="s">
        <v>0</v>
      </c>
      <c r="B1" s="83">
        <v>100</v>
      </c>
      <c r="C1" s="7" t="s">
        <v>58</v>
      </c>
    </row>
    <row r="2" spans="1:19" x14ac:dyDescent="0.25">
      <c r="A2" s="10" t="s">
        <v>9</v>
      </c>
      <c r="B2" s="84">
        <v>0</v>
      </c>
      <c r="C2" s="7" t="s">
        <v>59</v>
      </c>
    </row>
    <row r="3" spans="1:19" x14ac:dyDescent="0.25">
      <c r="A3" s="10" t="s">
        <v>2</v>
      </c>
      <c r="B3" s="84">
        <v>0.5</v>
      </c>
      <c r="C3" s="7" t="s">
        <v>60</v>
      </c>
      <c r="E3" s="28" t="s">
        <v>5</v>
      </c>
      <c r="F3" s="26" t="s">
        <v>1</v>
      </c>
      <c r="G3" s="26" t="s">
        <v>6</v>
      </c>
      <c r="H3" s="26" t="s">
        <v>7</v>
      </c>
      <c r="I3" s="27" t="s">
        <v>8</v>
      </c>
      <c r="J3" s="13"/>
      <c r="K3" s="28" t="s">
        <v>5</v>
      </c>
      <c r="L3" s="26" t="s">
        <v>1</v>
      </c>
      <c r="M3" s="26" t="s">
        <v>6</v>
      </c>
      <c r="N3" s="26" t="s">
        <v>7</v>
      </c>
      <c r="O3" s="27" t="s">
        <v>8</v>
      </c>
      <c r="P3" s="13"/>
      <c r="Q3" s="19" t="s">
        <v>30</v>
      </c>
      <c r="R3" s="19" t="s">
        <v>31</v>
      </c>
      <c r="S3" s="20" t="s">
        <v>56</v>
      </c>
    </row>
    <row r="4" spans="1:19" x14ac:dyDescent="0.25">
      <c r="A4" s="10" t="s">
        <v>3</v>
      </c>
      <c r="B4" s="84">
        <v>0.08</v>
      </c>
      <c r="C4" s="7" t="s">
        <v>61</v>
      </c>
      <c r="E4" s="29" t="s">
        <v>10</v>
      </c>
      <c r="F4" s="33">
        <v>90</v>
      </c>
      <c r="G4" s="33">
        <v>95</v>
      </c>
      <c r="H4" s="34">
        <f>BarrierOption(E4,$B$1,F4,G4,$B$2,$B$3,$B$4,$B$6,$B$5)</f>
        <v>7.7833181406411853</v>
      </c>
      <c r="I4" s="35">
        <f t="shared" ref="I4:I21" si="0">BarrierOption(E4,$B$1,F4,G4,$B$2,$B$3,$B$4,$B$7,$B$5)</f>
        <v>7.2864251776743245</v>
      </c>
      <c r="J4" s="13"/>
      <c r="K4" s="29" t="s">
        <v>12</v>
      </c>
      <c r="L4" s="33">
        <v>90</v>
      </c>
      <c r="M4" s="33">
        <v>95</v>
      </c>
      <c r="N4" s="34">
        <f>BarrierOption(K4,$B$1,L4,M4,$B$2,$B$3,$B$4,$B$6,$B$5)</f>
        <v>7.640811789185932</v>
      </c>
      <c r="O4" s="35">
        <f>BarrierOption(K4,$B$1,L4,M4,$B$2,$B$3,$B$4,$B$7,$B$5)</f>
        <v>9.1230161466069859</v>
      </c>
      <c r="P4" s="13"/>
      <c r="Q4" s="67">
        <f>H4+N4</f>
        <v>15.424129929827117</v>
      </c>
      <c r="R4" s="67">
        <f>call_price($B$1,F4,$B$3,$B$4,$B$6)</f>
        <v>15.424129929827103</v>
      </c>
      <c r="S4" s="68">
        <f>R4-Q4</f>
        <v>-1.4210854715202004E-14</v>
      </c>
    </row>
    <row r="5" spans="1:19" x14ac:dyDescent="0.25">
      <c r="A5" s="10" t="s">
        <v>4</v>
      </c>
      <c r="B5" s="84">
        <v>0.08</v>
      </c>
      <c r="C5" s="7" t="s">
        <v>62</v>
      </c>
      <c r="E5" s="14" t="s">
        <v>10</v>
      </c>
      <c r="F5" s="36">
        <v>100</v>
      </c>
      <c r="G5" s="36">
        <v>95</v>
      </c>
      <c r="H5" s="37">
        <f t="shared" ref="H5:H21" si="1">BarrierOption(E5,$B$1,F5,G5,$B$2,$B$3,$B$4,$B$6,$B$5)</f>
        <v>5.2997890670209387</v>
      </c>
      <c r="I5" s="38">
        <f t="shared" si="0"/>
        <v>5.301408577903338</v>
      </c>
      <c r="J5" s="13"/>
      <c r="K5" s="14" t="s">
        <v>12</v>
      </c>
      <c r="L5" s="36">
        <v>100</v>
      </c>
      <c r="M5" s="36">
        <v>95</v>
      </c>
      <c r="N5" s="37">
        <f t="shared" ref="N5:N21" si="2">BarrierOption(K5,$B$1,L5,M5,$B$2,$B$3,$B$4,$B$6,$B$5)</f>
        <v>3.7413862673771732</v>
      </c>
      <c r="O5" s="38">
        <f t="shared" ref="O5:O21" si="3">BarrierOption(K5,$B$1,L5,M5,$B$2,$B$3,$B$4,$B$7,$B$5)</f>
        <v>5.0867324287159548</v>
      </c>
      <c r="P5" s="13"/>
      <c r="Q5" s="67">
        <f t="shared" ref="Q5:Q21" si="4">H5+N5</f>
        <v>9.0411753343981118</v>
      </c>
      <c r="R5" s="67">
        <f t="shared" ref="R5:R12" si="5">call_price($B$1,F5,$B$3,$B$4,$B$6)</f>
        <v>9.0411753343981118</v>
      </c>
      <c r="S5" s="68">
        <f t="shared" ref="S5:S21" si="6">R5-Q5</f>
        <v>0</v>
      </c>
    </row>
    <row r="6" spans="1:19" x14ac:dyDescent="0.25">
      <c r="A6" s="10" t="s">
        <v>7</v>
      </c>
      <c r="B6" s="84">
        <v>0.25</v>
      </c>
      <c r="C6" s="7" t="s">
        <v>63</v>
      </c>
      <c r="E6" s="14" t="s">
        <v>10</v>
      </c>
      <c r="F6" s="36">
        <v>110</v>
      </c>
      <c r="G6" s="36">
        <v>95</v>
      </c>
      <c r="H6" s="37">
        <f t="shared" si="1"/>
        <v>3.133947170242223</v>
      </c>
      <c r="I6" s="38">
        <f t="shared" si="0"/>
        <v>3.5078781550583642</v>
      </c>
      <c r="J6" s="13"/>
      <c r="K6" s="14" t="s">
        <v>12</v>
      </c>
      <c r="L6" s="36">
        <v>110</v>
      </c>
      <c r="M6" s="36">
        <v>95</v>
      </c>
      <c r="N6" s="37">
        <f t="shared" si="2"/>
        <v>1.6167574471961075</v>
      </c>
      <c r="O6" s="38">
        <f t="shared" si="3"/>
        <v>2.6283235577810657</v>
      </c>
      <c r="P6" s="13"/>
      <c r="Q6" s="67">
        <f t="shared" si="4"/>
        <v>4.7507046174383305</v>
      </c>
      <c r="R6" s="67">
        <f t="shared" si="5"/>
        <v>4.7507046174383376</v>
      </c>
      <c r="S6" s="68">
        <f t="shared" si="6"/>
        <v>7.1054273576010019E-15</v>
      </c>
    </row>
    <row r="7" spans="1:19" x14ac:dyDescent="0.25">
      <c r="A7" s="11" t="s">
        <v>8</v>
      </c>
      <c r="B7" s="85">
        <v>0.3</v>
      </c>
      <c r="E7" s="14" t="s">
        <v>10</v>
      </c>
      <c r="F7" s="36">
        <v>90</v>
      </c>
      <c r="G7" s="36">
        <v>100</v>
      </c>
      <c r="H7" s="37">
        <f t="shared" si="1"/>
        <v>0</v>
      </c>
      <c r="I7" s="38">
        <f t="shared" si="0"/>
        <v>0</v>
      </c>
      <c r="J7" s="13"/>
      <c r="K7" s="14" t="s">
        <v>12</v>
      </c>
      <c r="L7" s="36">
        <v>90</v>
      </c>
      <c r="M7" s="36">
        <v>100</v>
      </c>
      <c r="N7" s="37">
        <f t="shared" si="2"/>
        <v>15.424129929827117</v>
      </c>
      <c r="O7" s="38">
        <f t="shared" si="3"/>
        <v>16.40944132428131</v>
      </c>
      <c r="P7" s="13"/>
      <c r="Q7" s="67">
        <f t="shared" si="4"/>
        <v>15.424129929827117</v>
      </c>
      <c r="R7" s="67">
        <f t="shared" si="5"/>
        <v>15.424129929827103</v>
      </c>
      <c r="S7" s="68">
        <f t="shared" si="6"/>
        <v>-1.4210854715202004E-14</v>
      </c>
    </row>
    <row r="8" spans="1:19" x14ac:dyDescent="0.25">
      <c r="A8" s="10" t="s">
        <v>1</v>
      </c>
      <c r="C8" s="7" t="s">
        <v>64</v>
      </c>
      <c r="E8" s="14" t="s">
        <v>10</v>
      </c>
      <c r="F8" s="36">
        <v>100</v>
      </c>
      <c r="G8" s="36">
        <v>100</v>
      </c>
      <c r="H8" s="37">
        <f t="shared" si="1"/>
        <v>0</v>
      </c>
      <c r="I8" s="38">
        <f t="shared" si="0"/>
        <v>0</v>
      </c>
      <c r="J8" s="13"/>
      <c r="K8" s="14" t="s">
        <v>12</v>
      </c>
      <c r="L8" s="36">
        <v>100</v>
      </c>
      <c r="M8" s="36">
        <v>100</v>
      </c>
      <c r="N8" s="37">
        <f t="shared" si="2"/>
        <v>9.0411753343981118</v>
      </c>
      <c r="O8" s="38">
        <f t="shared" si="3"/>
        <v>10.388141006619293</v>
      </c>
      <c r="P8" s="13"/>
      <c r="Q8" s="67">
        <f t="shared" si="4"/>
        <v>9.0411753343981118</v>
      </c>
      <c r="R8" s="67">
        <f t="shared" si="5"/>
        <v>9.0411753343981118</v>
      </c>
      <c r="S8" s="68">
        <f t="shared" si="6"/>
        <v>0</v>
      </c>
    </row>
    <row r="9" spans="1:19" x14ac:dyDescent="0.25">
      <c r="A9" s="10" t="s">
        <v>6</v>
      </c>
      <c r="C9" s="136" t="s">
        <v>65</v>
      </c>
      <c r="E9" s="21" t="s">
        <v>10</v>
      </c>
      <c r="F9" s="48">
        <v>110</v>
      </c>
      <c r="G9" s="48">
        <v>100</v>
      </c>
      <c r="H9" s="49">
        <f t="shared" si="1"/>
        <v>0</v>
      </c>
      <c r="I9" s="50">
        <f t="shared" si="0"/>
        <v>0</v>
      </c>
      <c r="J9" s="13"/>
      <c r="K9" s="21" t="s">
        <v>12</v>
      </c>
      <c r="L9" s="48">
        <v>110</v>
      </c>
      <c r="M9" s="48">
        <v>100</v>
      </c>
      <c r="N9" s="49">
        <f t="shared" si="2"/>
        <v>4.7507046174383305</v>
      </c>
      <c r="O9" s="50">
        <f t="shared" si="3"/>
        <v>6.1362017128394299</v>
      </c>
      <c r="P9" s="13"/>
      <c r="Q9" s="69">
        <f t="shared" si="4"/>
        <v>4.7507046174383305</v>
      </c>
      <c r="R9" s="69">
        <f t="shared" si="5"/>
        <v>4.7507046174383376</v>
      </c>
      <c r="S9" s="70">
        <f t="shared" si="6"/>
        <v>7.1054273576010019E-15</v>
      </c>
    </row>
    <row r="10" spans="1:19" x14ac:dyDescent="0.25">
      <c r="E10" s="22" t="s">
        <v>11</v>
      </c>
      <c r="F10" s="51">
        <v>90</v>
      </c>
      <c r="G10" s="51">
        <v>105</v>
      </c>
      <c r="H10" s="52">
        <f t="shared" si="1"/>
        <v>0.32539361215120266</v>
      </c>
      <c r="I10" s="53">
        <f t="shared" si="0"/>
        <v>0.1995581656323715</v>
      </c>
      <c r="J10" s="13"/>
      <c r="K10" s="22" t="s">
        <v>13</v>
      </c>
      <c r="L10" s="51">
        <v>90</v>
      </c>
      <c r="M10" s="51">
        <v>105</v>
      </c>
      <c r="N10" s="52">
        <f t="shared" si="2"/>
        <v>15.098736317675915</v>
      </c>
      <c r="O10" s="53">
        <f t="shared" si="3"/>
        <v>16.209883158648939</v>
      </c>
      <c r="P10" s="13"/>
      <c r="Q10" s="77">
        <f t="shared" si="4"/>
        <v>15.424129929827117</v>
      </c>
      <c r="R10" s="77">
        <f t="shared" si="5"/>
        <v>15.424129929827103</v>
      </c>
      <c r="S10" s="78">
        <f t="shared" si="6"/>
        <v>-1.4210854715202004E-14</v>
      </c>
    </row>
    <row r="11" spans="1:19" x14ac:dyDescent="0.25">
      <c r="A11" s="137" t="s">
        <v>10</v>
      </c>
      <c r="C11" s="136" t="s">
        <v>66</v>
      </c>
      <c r="E11" s="15" t="s">
        <v>11</v>
      </c>
      <c r="F11" s="39">
        <v>100</v>
      </c>
      <c r="G11" s="39">
        <v>105</v>
      </c>
      <c r="H11" s="40">
        <f t="shared" si="1"/>
        <v>1.2754031910354513E-2</v>
      </c>
      <c r="I11" s="41">
        <f t="shared" si="0"/>
        <v>7.4655247599366703E-3</v>
      </c>
      <c r="J11" s="13"/>
      <c r="K11" s="15" t="s">
        <v>13</v>
      </c>
      <c r="L11" s="39">
        <v>100</v>
      </c>
      <c r="M11" s="39">
        <v>105</v>
      </c>
      <c r="N11" s="40">
        <f t="shared" si="2"/>
        <v>9.0284213024877573</v>
      </c>
      <c r="O11" s="41">
        <f t="shared" si="3"/>
        <v>10.380675481859356</v>
      </c>
      <c r="P11" s="13"/>
      <c r="Q11" s="79">
        <f t="shared" si="4"/>
        <v>9.0411753343981118</v>
      </c>
      <c r="R11" s="79">
        <f t="shared" si="5"/>
        <v>9.0411753343981118</v>
      </c>
      <c r="S11" s="80">
        <f t="shared" si="6"/>
        <v>0</v>
      </c>
    </row>
    <row r="12" spans="1:19" x14ac:dyDescent="0.25">
      <c r="A12" s="137" t="s">
        <v>12</v>
      </c>
      <c r="C12" s="136" t="s">
        <v>67</v>
      </c>
      <c r="E12" s="23" t="s">
        <v>11</v>
      </c>
      <c r="F12" s="54">
        <v>110</v>
      </c>
      <c r="G12" s="54">
        <v>105</v>
      </c>
      <c r="H12" s="55">
        <f t="shared" si="1"/>
        <v>0</v>
      </c>
      <c r="I12" s="56">
        <f t="shared" si="0"/>
        <v>0</v>
      </c>
      <c r="J12" s="13"/>
      <c r="K12" s="23" t="s">
        <v>13</v>
      </c>
      <c r="L12" s="54">
        <v>110</v>
      </c>
      <c r="M12" s="54">
        <v>105</v>
      </c>
      <c r="N12" s="55">
        <f t="shared" si="2"/>
        <v>4.7507046174383305</v>
      </c>
      <c r="O12" s="56">
        <f t="shared" si="3"/>
        <v>6.1362017128394299</v>
      </c>
      <c r="P12" s="13"/>
      <c r="Q12" s="81">
        <f t="shared" si="4"/>
        <v>4.7507046174383305</v>
      </c>
      <c r="R12" s="81">
        <f t="shared" si="5"/>
        <v>4.7507046174383376</v>
      </c>
      <c r="S12" s="82">
        <f t="shared" si="6"/>
        <v>7.1054273576010019E-15</v>
      </c>
    </row>
    <row r="13" spans="1:19" x14ac:dyDescent="0.25">
      <c r="A13" s="137" t="s">
        <v>11</v>
      </c>
      <c r="C13" s="136" t="s">
        <v>68</v>
      </c>
      <c r="E13" s="24" t="s">
        <v>15</v>
      </c>
      <c r="F13" s="57">
        <v>90</v>
      </c>
      <c r="G13" s="57">
        <v>95</v>
      </c>
      <c r="H13" s="58">
        <f t="shared" si="1"/>
        <v>0</v>
      </c>
      <c r="I13" s="59">
        <f t="shared" si="0"/>
        <v>0</v>
      </c>
      <c r="J13" s="13"/>
      <c r="K13" s="24" t="s">
        <v>14</v>
      </c>
      <c r="L13" s="57">
        <v>90</v>
      </c>
      <c r="M13" s="57">
        <v>95</v>
      </c>
      <c r="N13" s="58">
        <f t="shared" si="2"/>
        <v>1.895179453536187</v>
      </c>
      <c r="O13" s="59">
        <f t="shared" si="3"/>
        <v>2.8804908479903979</v>
      </c>
      <c r="P13" s="13"/>
      <c r="Q13" s="71">
        <f t="shared" si="4"/>
        <v>1.895179453536187</v>
      </c>
      <c r="R13" s="71">
        <f>put_price($B$1,F13,$B$3,$B$4,$B$6)</f>
        <v>1.895179453536187</v>
      </c>
      <c r="S13" s="72">
        <f t="shared" si="6"/>
        <v>0</v>
      </c>
    </row>
    <row r="14" spans="1:19" x14ac:dyDescent="0.25">
      <c r="A14" s="137" t="s">
        <v>13</v>
      </c>
      <c r="C14" s="136" t="s">
        <v>69</v>
      </c>
      <c r="E14" s="16" t="s">
        <v>15</v>
      </c>
      <c r="F14" s="42">
        <v>100</v>
      </c>
      <c r="G14" s="42">
        <v>95</v>
      </c>
      <c r="H14" s="43">
        <f t="shared" si="1"/>
        <v>1.4534766524381126E-2</v>
      </c>
      <c r="I14" s="44">
        <f t="shared" si="0"/>
        <v>8.6905974813760167E-3</v>
      </c>
      <c r="J14" s="13"/>
      <c r="K14" s="16" t="s">
        <v>14</v>
      </c>
      <c r="L14" s="42">
        <v>100</v>
      </c>
      <c r="M14" s="42">
        <v>95</v>
      </c>
      <c r="N14" s="43">
        <f t="shared" si="2"/>
        <v>5.1055844831060462</v>
      </c>
      <c r="O14" s="44">
        <f t="shared" si="3"/>
        <v>6.4583943243702393</v>
      </c>
      <c r="P14" s="13"/>
      <c r="Q14" s="73">
        <f t="shared" si="4"/>
        <v>5.1201192496304273</v>
      </c>
      <c r="R14" s="73">
        <f t="shared" ref="R14:R21" si="7">put_price($B$1,F14,$B$3,$B$4,$B$6)</f>
        <v>5.1201192496304202</v>
      </c>
      <c r="S14" s="74">
        <f t="shared" si="6"/>
        <v>-7.1054273576010019E-15</v>
      </c>
    </row>
    <row r="15" spans="1:19" x14ac:dyDescent="0.25">
      <c r="E15" s="16" t="s">
        <v>15</v>
      </c>
      <c r="F15" s="42">
        <v>110</v>
      </c>
      <c r="G15" s="42">
        <v>95</v>
      </c>
      <c r="H15" s="43">
        <f t="shared" si="1"/>
        <v>0.34675670989028262</v>
      </c>
      <c r="I15" s="44">
        <f t="shared" si="0"/>
        <v>0.2088673718887506</v>
      </c>
      <c r="J15" s="13"/>
      <c r="K15" s="16" t="s">
        <v>14</v>
      </c>
      <c r="L15" s="42">
        <v>110</v>
      </c>
      <c r="M15" s="42">
        <v>95</v>
      </c>
      <c r="N15" s="43">
        <f t="shared" si="2"/>
        <v>10.090786214303574</v>
      </c>
      <c r="O15" s="44">
        <f t="shared" si="3"/>
        <v>11.614172647706226</v>
      </c>
      <c r="P15" s="13"/>
      <c r="Q15" s="73">
        <f t="shared" si="4"/>
        <v>10.437542924193856</v>
      </c>
      <c r="R15" s="73">
        <f t="shared" si="7"/>
        <v>10.437542924193892</v>
      </c>
      <c r="S15" s="74">
        <f t="shared" si="6"/>
        <v>3.5527136788005009E-14</v>
      </c>
    </row>
    <row r="16" spans="1:19" x14ac:dyDescent="0.25">
      <c r="A16" s="137" t="s">
        <v>15</v>
      </c>
      <c r="C16" s="7" t="s">
        <v>71</v>
      </c>
      <c r="E16" s="16" t="s">
        <v>15</v>
      </c>
      <c r="F16" s="42">
        <v>90</v>
      </c>
      <c r="G16" s="42">
        <v>100</v>
      </c>
      <c r="H16" s="43">
        <f t="shared" si="1"/>
        <v>0</v>
      </c>
      <c r="I16" s="44">
        <f t="shared" si="0"/>
        <v>0</v>
      </c>
      <c r="J16" s="13"/>
      <c r="K16" s="16" t="s">
        <v>14</v>
      </c>
      <c r="L16" s="42">
        <v>90</v>
      </c>
      <c r="M16" s="42">
        <v>100</v>
      </c>
      <c r="N16" s="43">
        <f t="shared" si="2"/>
        <v>1.895179453536187</v>
      </c>
      <c r="O16" s="44">
        <f t="shared" si="3"/>
        <v>2.8804908479903979</v>
      </c>
      <c r="P16" s="13"/>
      <c r="Q16" s="73">
        <f t="shared" si="4"/>
        <v>1.895179453536187</v>
      </c>
      <c r="R16" s="73">
        <f t="shared" si="7"/>
        <v>1.895179453536187</v>
      </c>
      <c r="S16" s="74">
        <f t="shared" si="6"/>
        <v>0</v>
      </c>
    </row>
    <row r="17" spans="1:19" x14ac:dyDescent="0.25">
      <c r="A17" s="137" t="s">
        <v>14</v>
      </c>
      <c r="C17" s="7" t="s">
        <v>70</v>
      </c>
      <c r="E17" s="16" t="s">
        <v>15</v>
      </c>
      <c r="F17" s="42">
        <v>100</v>
      </c>
      <c r="G17" s="42">
        <v>100</v>
      </c>
      <c r="H17" s="43">
        <f t="shared" si="1"/>
        <v>0</v>
      </c>
      <c r="I17" s="44">
        <f t="shared" si="0"/>
        <v>0</v>
      </c>
      <c r="J17" s="13"/>
      <c r="K17" s="16" t="s">
        <v>14</v>
      </c>
      <c r="L17" s="42">
        <v>100</v>
      </c>
      <c r="M17" s="42">
        <v>100</v>
      </c>
      <c r="N17" s="43">
        <f t="shared" si="2"/>
        <v>5.1201192496304273</v>
      </c>
      <c r="O17" s="44">
        <f t="shared" si="3"/>
        <v>6.4670849218516153</v>
      </c>
      <c r="P17" s="13"/>
      <c r="Q17" s="73">
        <f t="shared" si="4"/>
        <v>5.1201192496304273</v>
      </c>
      <c r="R17" s="73">
        <f t="shared" si="7"/>
        <v>5.1201192496304202</v>
      </c>
      <c r="S17" s="74">
        <f t="shared" si="6"/>
        <v>-7.1054273576010019E-15</v>
      </c>
    </row>
    <row r="18" spans="1:19" x14ac:dyDescent="0.25">
      <c r="A18" s="137" t="s">
        <v>16</v>
      </c>
      <c r="C18" s="7" t="s">
        <v>72</v>
      </c>
      <c r="E18" s="25" t="s">
        <v>15</v>
      </c>
      <c r="F18" s="60">
        <v>110</v>
      </c>
      <c r="G18" s="60">
        <v>100</v>
      </c>
      <c r="H18" s="61">
        <f t="shared" si="1"/>
        <v>-2.1316282072803006E-14</v>
      </c>
      <c r="I18" s="62">
        <f t="shared" si="0"/>
        <v>-7.1054273576010019E-15</v>
      </c>
      <c r="J18" s="13"/>
      <c r="K18" s="25" t="s">
        <v>14</v>
      </c>
      <c r="L18" s="60">
        <v>110</v>
      </c>
      <c r="M18" s="60">
        <v>100</v>
      </c>
      <c r="N18" s="61">
        <f t="shared" si="2"/>
        <v>10.437542924193878</v>
      </c>
      <c r="O18" s="62">
        <f t="shared" si="3"/>
        <v>11.823040019594984</v>
      </c>
      <c r="P18" s="13"/>
      <c r="Q18" s="75">
        <f t="shared" si="4"/>
        <v>10.437542924193856</v>
      </c>
      <c r="R18" s="75">
        <f t="shared" si="7"/>
        <v>10.437542924193892</v>
      </c>
      <c r="S18" s="76">
        <f t="shared" si="6"/>
        <v>3.5527136788005009E-14</v>
      </c>
    </row>
    <row r="19" spans="1:19" x14ac:dyDescent="0.25">
      <c r="A19" s="137" t="s">
        <v>17</v>
      </c>
      <c r="C19" s="7" t="s">
        <v>73</v>
      </c>
      <c r="E19" s="17" t="s">
        <v>16</v>
      </c>
      <c r="F19" s="30">
        <v>90</v>
      </c>
      <c r="G19" s="30">
        <v>105</v>
      </c>
      <c r="H19" s="31">
        <f t="shared" si="1"/>
        <v>1.1745867053554484</v>
      </c>
      <c r="I19" s="32">
        <f t="shared" si="0"/>
        <v>1.5365758030324912</v>
      </c>
      <c r="J19" s="13"/>
      <c r="K19" s="17" t="s">
        <v>17</v>
      </c>
      <c r="L19" s="30">
        <v>90</v>
      </c>
      <c r="M19" s="30">
        <v>105</v>
      </c>
      <c r="N19" s="31">
        <f t="shared" si="2"/>
        <v>0.7205927481807386</v>
      </c>
      <c r="O19" s="32">
        <f t="shared" si="3"/>
        <v>1.3439150449579067</v>
      </c>
      <c r="P19" s="13"/>
      <c r="Q19" s="63">
        <f t="shared" si="4"/>
        <v>1.895179453536187</v>
      </c>
      <c r="R19" s="63">
        <f t="shared" si="7"/>
        <v>1.895179453536187</v>
      </c>
      <c r="S19" s="64">
        <f t="shared" si="6"/>
        <v>0</v>
      </c>
    </row>
    <row r="20" spans="1:19" x14ac:dyDescent="0.25">
      <c r="E20" s="17" t="s">
        <v>16</v>
      </c>
      <c r="F20" s="30">
        <v>100</v>
      </c>
      <c r="G20" s="30">
        <v>105</v>
      </c>
      <c r="H20" s="31">
        <f t="shared" si="1"/>
        <v>2.6739743265733296</v>
      </c>
      <c r="I20" s="32">
        <f t="shared" si="0"/>
        <v>2.9461789303245851</v>
      </c>
      <c r="J20" s="13"/>
      <c r="K20" s="17" t="s">
        <v>17</v>
      </c>
      <c r="L20" s="30">
        <v>100</v>
      </c>
      <c r="M20" s="30">
        <v>105</v>
      </c>
      <c r="N20" s="31">
        <f t="shared" si="2"/>
        <v>2.4461449230570977</v>
      </c>
      <c r="O20" s="32">
        <f t="shared" si="3"/>
        <v>3.5209059915270302</v>
      </c>
      <c r="P20" s="13"/>
      <c r="Q20" s="63">
        <f t="shared" si="4"/>
        <v>5.1201192496304273</v>
      </c>
      <c r="R20" s="63">
        <f t="shared" si="7"/>
        <v>5.1201192496304202</v>
      </c>
      <c r="S20" s="64">
        <f t="shared" si="6"/>
        <v>-7.1054273576010019E-15</v>
      </c>
    </row>
    <row r="21" spans="1:19" x14ac:dyDescent="0.25">
      <c r="E21" s="18" t="s">
        <v>16</v>
      </c>
      <c r="F21" s="45">
        <v>110</v>
      </c>
      <c r="G21" s="45">
        <v>105</v>
      </c>
      <c r="H21" s="46">
        <f t="shared" si="1"/>
        <v>4.4732474961217008</v>
      </c>
      <c r="I21" s="47">
        <f t="shared" si="0"/>
        <v>4.5404091737291807</v>
      </c>
      <c r="J21" s="13"/>
      <c r="K21" s="18" t="s">
        <v>17</v>
      </c>
      <c r="L21" s="45">
        <v>110</v>
      </c>
      <c r="M21" s="45">
        <v>105</v>
      </c>
      <c r="N21" s="46">
        <f t="shared" si="2"/>
        <v>5.9642954280721554</v>
      </c>
      <c r="O21" s="47">
        <f t="shared" si="3"/>
        <v>7.2826308458657962</v>
      </c>
      <c r="P21" s="13"/>
      <c r="Q21" s="65">
        <f t="shared" si="4"/>
        <v>10.437542924193856</v>
      </c>
      <c r="R21" s="65">
        <f t="shared" si="7"/>
        <v>10.437542924193892</v>
      </c>
      <c r="S21" s="66">
        <f t="shared" si="6"/>
        <v>3.5527136788005009E-14</v>
      </c>
    </row>
    <row r="22" spans="1:19" x14ac:dyDescent="0.25">
      <c r="Q22" s="7" t="s">
        <v>74</v>
      </c>
    </row>
    <row r="32" spans="1:19" x14ac:dyDescent="0.25">
      <c r="B32" s="8"/>
    </row>
  </sheetData>
  <pageMargins left="0.7" right="0.7" top="0.75" bottom="0.75" header="0.3" footer="0.3"/>
  <pageSetup paperSize="9" scale="49"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O29"/>
  <sheetViews>
    <sheetView showGridLines="0" zoomScale="80" zoomScaleNormal="80" workbookViewId="0">
      <selection activeCell="B4" sqref="B4"/>
    </sheetView>
  </sheetViews>
  <sheetFormatPr defaultRowHeight="15" x14ac:dyDescent="0.25"/>
  <cols>
    <col min="1" max="1" width="14" customWidth="1"/>
    <col min="2" max="2" width="7" customWidth="1"/>
    <col min="3" max="3" width="5.140625" customWidth="1"/>
    <col min="4" max="4" width="3" style="97" customWidth="1"/>
    <col min="5" max="15" width="10.7109375" style="97" customWidth="1"/>
  </cols>
  <sheetData>
    <row r="1" spans="1:15" x14ac:dyDescent="0.25">
      <c r="A1" s="9" t="s">
        <v>0</v>
      </c>
      <c r="B1" s="87">
        <v>100</v>
      </c>
      <c r="E1" s="107" t="s">
        <v>57</v>
      </c>
      <c r="F1" s="108"/>
      <c r="G1" s="109">
        <f>BarrierOption(E17,B1,B2,B3,B13,B4,B7,B8,B14)</f>
        <v>10.058392433486397</v>
      </c>
      <c r="I1" s="97" t="s">
        <v>75</v>
      </c>
    </row>
    <row r="2" spans="1:15" x14ac:dyDescent="0.25">
      <c r="A2" s="10" t="s">
        <v>1</v>
      </c>
      <c r="B2" s="88">
        <v>95</v>
      </c>
      <c r="I2" s="97" t="s">
        <v>76</v>
      </c>
    </row>
    <row r="3" spans="1:15" x14ac:dyDescent="0.25">
      <c r="A3" s="10" t="s">
        <v>6</v>
      </c>
      <c r="B3" s="88">
        <v>90</v>
      </c>
    </row>
    <row r="4" spans="1:15" x14ac:dyDescent="0.25">
      <c r="A4" s="10" t="s">
        <v>2</v>
      </c>
      <c r="B4" s="88">
        <v>0.5</v>
      </c>
      <c r="E4" s="96">
        <v>0</v>
      </c>
      <c r="F4" s="96">
        <f>E4+1</f>
        <v>1</v>
      </c>
      <c r="G4" s="96">
        <f t="shared" ref="G4:N4" si="0">F4+1</f>
        <v>2</v>
      </c>
      <c r="H4" s="96">
        <f t="shared" si="0"/>
        <v>3</v>
      </c>
      <c r="I4" s="96">
        <f t="shared" si="0"/>
        <v>4</v>
      </c>
      <c r="J4" s="96">
        <f t="shared" si="0"/>
        <v>5</v>
      </c>
      <c r="K4" s="96">
        <f t="shared" si="0"/>
        <v>6</v>
      </c>
      <c r="L4" s="96">
        <f t="shared" si="0"/>
        <v>7</v>
      </c>
      <c r="M4" s="96">
        <f t="shared" si="0"/>
        <v>8</v>
      </c>
      <c r="N4" s="96">
        <f t="shared" si="0"/>
        <v>9</v>
      </c>
      <c r="O4" s="96">
        <f>N4+1</f>
        <v>10</v>
      </c>
    </row>
    <row r="5" spans="1:15" x14ac:dyDescent="0.25">
      <c r="A5" s="10" t="s">
        <v>18</v>
      </c>
      <c r="B5" s="88">
        <v>10</v>
      </c>
      <c r="D5" s="96">
        <v>10</v>
      </c>
      <c r="E5" s="99">
        <f>B1</f>
        <v>100</v>
      </c>
      <c r="F5" s="99">
        <f>E5*$B$9</f>
        <v>105.74937263990118</v>
      </c>
      <c r="G5" s="99">
        <f t="shared" ref="G5:O5" si="1">F5*$B$9</f>
        <v>111.82929813732682</v>
      </c>
      <c r="H5" s="99">
        <f t="shared" si="1"/>
        <v>118.25878120782781</v>
      </c>
      <c r="I5" s="99">
        <f t="shared" si="1"/>
        <v>125.05791921887126</v>
      </c>
      <c r="J5" s="99">
        <f t="shared" si="1"/>
        <v>132.24796501047078</v>
      </c>
      <c r="K5" s="99">
        <f t="shared" si="1"/>
        <v>139.85139332760889</v>
      </c>
      <c r="L5" s="99">
        <f t="shared" si="1"/>
        <v>147.89197107210703</v>
      </c>
      <c r="M5" s="99">
        <f t="shared" si="1"/>
        <v>156.39483159353733</v>
      </c>
      <c r="N5" s="99">
        <f t="shared" si="1"/>
        <v>165.3865532513957</v>
      </c>
      <c r="O5" s="99">
        <f t="shared" si="1"/>
        <v>174.89524249410704</v>
      </c>
    </row>
    <row r="6" spans="1:15" x14ac:dyDescent="0.25">
      <c r="A6" s="10" t="s">
        <v>22</v>
      </c>
      <c r="B6" s="88">
        <f>B4/B5</f>
        <v>0.05</v>
      </c>
      <c r="D6" s="96">
        <f>D5-1</f>
        <v>9</v>
      </c>
      <c r="E6" s="99"/>
      <c r="F6" s="99">
        <f>E5*$B$10</f>
        <v>94.563208748784731</v>
      </c>
      <c r="G6" s="99">
        <f t="shared" ref="G6:O15" si="2">F5*$B$10</f>
        <v>100</v>
      </c>
      <c r="H6" s="99">
        <f t="shared" si="2"/>
        <v>105.7493726399012</v>
      </c>
      <c r="I6" s="99">
        <f t="shared" si="2"/>
        <v>111.82929813732682</v>
      </c>
      <c r="J6" s="99">
        <f t="shared" si="2"/>
        <v>118.25878120782781</v>
      </c>
      <c r="K6" s="99">
        <f t="shared" si="2"/>
        <v>125.05791921887128</v>
      </c>
      <c r="L6" s="99">
        <f t="shared" si="2"/>
        <v>132.24796501047081</v>
      </c>
      <c r="M6" s="99">
        <f t="shared" si="2"/>
        <v>139.85139332760889</v>
      </c>
      <c r="N6" s="99">
        <f t="shared" si="2"/>
        <v>147.89197107210705</v>
      </c>
      <c r="O6" s="99">
        <f t="shared" si="2"/>
        <v>156.39483159353733</v>
      </c>
    </row>
    <row r="7" spans="1:15" x14ac:dyDescent="0.25">
      <c r="A7" s="10" t="s">
        <v>3</v>
      </c>
      <c r="B7" s="88">
        <v>0.08</v>
      </c>
      <c r="D7" s="96">
        <f t="shared" ref="D7:D15" si="3">D6-1</f>
        <v>8</v>
      </c>
      <c r="E7" s="99"/>
      <c r="F7" s="99"/>
      <c r="G7" s="99">
        <f t="shared" si="2"/>
        <v>89.422004488662367</v>
      </c>
      <c r="H7" s="99">
        <f t="shared" si="2"/>
        <v>94.563208748784731</v>
      </c>
      <c r="I7" s="99">
        <f t="shared" si="2"/>
        <v>100.00000000000001</v>
      </c>
      <c r="J7" s="99">
        <f t="shared" si="2"/>
        <v>105.7493726399012</v>
      </c>
      <c r="K7" s="99">
        <f t="shared" si="2"/>
        <v>111.82929813732682</v>
      </c>
      <c r="L7" s="99">
        <f t="shared" si="2"/>
        <v>118.25878120782782</v>
      </c>
      <c r="M7" s="99">
        <f t="shared" si="2"/>
        <v>125.05791921887131</v>
      </c>
      <c r="N7" s="99">
        <f t="shared" si="2"/>
        <v>132.24796501047081</v>
      </c>
      <c r="O7" s="99">
        <f t="shared" si="2"/>
        <v>139.85139332760892</v>
      </c>
    </row>
    <row r="8" spans="1:15" x14ac:dyDescent="0.25">
      <c r="A8" s="10" t="s">
        <v>19</v>
      </c>
      <c r="B8" s="88">
        <v>0.25</v>
      </c>
      <c r="D8" s="96">
        <f t="shared" si="3"/>
        <v>7</v>
      </c>
      <c r="E8" s="99"/>
      <c r="F8" s="99"/>
      <c r="G8" s="99"/>
      <c r="H8" s="99">
        <f t="shared" si="2"/>
        <v>84.560316771961453</v>
      </c>
      <c r="I8" s="99">
        <f t="shared" si="2"/>
        <v>89.422004488662367</v>
      </c>
      <c r="J8" s="99">
        <f t="shared" si="2"/>
        <v>94.563208748784746</v>
      </c>
      <c r="K8" s="99">
        <f t="shared" si="2"/>
        <v>100.00000000000001</v>
      </c>
      <c r="L8" s="99">
        <f t="shared" si="2"/>
        <v>105.7493726399012</v>
      </c>
      <c r="M8" s="99">
        <f t="shared" si="2"/>
        <v>111.82929813732683</v>
      </c>
      <c r="N8" s="99">
        <f t="shared" si="2"/>
        <v>118.25878120782785</v>
      </c>
      <c r="O8" s="99">
        <f t="shared" si="2"/>
        <v>125.05791921887131</v>
      </c>
    </row>
    <row r="9" spans="1:15" x14ac:dyDescent="0.25">
      <c r="A9" s="10" t="s">
        <v>20</v>
      </c>
      <c r="B9" s="90">
        <f>EXP(B8*SQRT(B6))</f>
        <v>1.0574937263990118</v>
      </c>
      <c r="D9" s="96">
        <f t="shared" si="3"/>
        <v>6</v>
      </c>
      <c r="E9" s="99"/>
      <c r="F9" s="99"/>
      <c r="G9" s="99"/>
      <c r="H9" s="99"/>
      <c r="I9" s="99">
        <f t="shared" si="2"/>
        <v>79.962948867703531</v>
      </c>
      <c r="J9" s="99">
        <f t="shared" si="2"/>
        <v>84.560316771961453</v>
      </c>
      <c r="K9" s="99">
        <f t="shared" si="2"/>
        <v>89.422004488662381</v>
      </c>
      <c r="L9" s="99">
        <f t="shared" si="2"/>
        <v>94.563208748784746</v>
      </c>
      <c r="M9" s="99">
        <f t="shared" si="2"/>
        <v>100.00000000000001</v>
      </c>
      <c r="N9" s="99">
        <f t="shared" si="2"/>
        <v>105.74937263990121</v>
      </c>
      <c r="O9" s="99">
        <f t="shared" si="2"/>
        <v>111.82929813732686</v>
      </c>
    </row>
    <row r="10" spans="1:15" x14ac:dyDescent="0.25">
      <c r="A10" s="10" t="s">
        <v>21</v>
      </c>
      <c r="B10" s="90">
        <f>1/B9</f>
        <v>0.94563208748784733</v>
      </c>
      <c r="D10" s="96">
        <f t="shared" si="3"/>
        <v>5</v>
      </c>
      <c r="E10" s="99"/>
      <c r="F10" s="99"/>
      <c r="G10" s="99"/>
      <c r="H10" s="99"/>
      <c r="I10" s="99"/>
      <c r="J10" s="99">
        <f t="shared" si="2"/>
        <v>75.615530259450495</v>
      </c>
      <c r="K10" s="99">
        <f t="shared" si="2"/>
        <v>79.962948867703531</v>
      </c>
      <c r="L10" s="99">
        <f t="shared" si="2"/>
        <v>84.560316771961467</v>
      </c>
      <c r="M10" s="99">
        <f t="shared" si="2"/>
        <v>89.422004488662381</v>
      </c>
      <c r="N10" s="99">
        <f t="shared" si="2"/>
        <v>94.563208748784746</v>
      </c>
      <c r="O10" s="99">
        <f t="shared" si="2"/>
        <v>100.00000000000003</v>
      </c>
    </row>
    <row r="11" spans="1:15" x14ac:dyDescent="0.25">
      <c r="A11" s="10" t="s">
        <v>23</v>
      </c>
      <c r="B11" s="90">
        <f>(EXP(B7*B6)-B10)/(B9-B10)</f>
        <v>0.52185828634116571</v>
      </c>
      <c r="D11" s="96">
        <f t="shared" si="3"/>
        <v>4</v>
      </c>
      <c r="E11" s="99"/>
      <c r="F11" s="99"/>
      <c r="G11" s="99"/>
      <c r="H11" s="99"/>
      <c r="I11" s="99"/>
      <c r="J11" s="99"/>
      <c r="K11" s="99">
        <f t="shared" si="2"/>
        <v>71.504471725744651</v>
      </c>
      <c r="L11" s="99">
        <f t="shared" si="2"/>
        <v>75.615530259450495</v>
      </c>
      <c r="M11" s="99">
        <f t="shared" si="2"/>
        <v>79.962948867703545</v>
      </c>
      <c r="N11" s="99">
        <f t="shared" si="2"/>
        <v>84.560316771961467</v>
      </c>
      <c r="O11" s="99">
        <f t="shared" si="2"/>
        <v>89.422004488662381</v>
      </c>
    </row>
    <row r="12" spans="1:15" x14ac:dyDescent="0.25">
      <c r="A12" s="10" t="s">
        <v>24</v>
      </c>
      <c r="B12" s="90">
        <f>1-B11</f>
        <v>0.47814171365883429</v>
      </c>
      <c r="D12" s="96">
        <f t="shared" si="3"/>
        <v>3</v>
      </c>
      <c r="E12" s="99"/>
      <c r="F12" s="99"/>
      <c r="G12" s="99"/>
      <c r="H12" s="99"/>
      <c r="I12" s="99"/>
      <c r="J12" s="99"/>
      <c r="K12" s="99"/>
      <c r="L12" s="99">
        <f t="shared" si="2"/>
        <v>67.61692286273167</v>
      </c>
      <c r="M12" s="99">
        <f t="shared" si="2"/>
        <v>71.504471725744651</v>
      </c>
      <c r="N12" s="99">
        <f t="shared" si="2"/>
        <v>75.615530259450495</v>
      </c>
      <c r="O12" s="99">
        <f t="shared" si="2"/>
        <v>79.962948867703545</v>
      </c>
    </row>
    <row r="13" spans="1:15" x14ac:dyDescent="0.25">
      <c r="A13" s="10" t="s">
        <v>9</v>
      </c>
      <c r="B13" s="88">
        <v>0</v>
      </c>
      <c r="D13" s="96">
        <f t="shared" si="3"/>
        <v>2</v>
      </c>
      <c r="E13" s="99"/>
      <c r="F13" s="99"/>
      <c r="G13" s="99"/>
      <c r="H13" s="99"/>
      <c r="I13" s="99"/>
      <c r="J13" s="99"/>
      <c r="K13" s="99"/>
      <c r="L13" s="99"/>
      <c r="M13" s="99">
        <f t="shared" si="2"/>
        <v>63.940731916189698</v>
      </c>
      <c r="N13" s="99">
        <f t="shared" si="2"/>
        <v>67.61692286273167</v>
      </c>
      <c r="O13" s="99">
        <f t="shared" si="2"/>
        <v>71.504471725744651</v>
      </c>
    </row>
    <row r="14" spans="1:15" x14ac:dyDescent="0.25">
      <c r="A14" s="10" t="s">
        <v>4</v>
      </c>
      <c r="B14" s="88">
        <v>0.08</v>
      </c>
      <c r="D14" s="96">
        <f t="shared" si="3"/>
        <v>1</v>
      </c>
      <c r="E14" s="99"/>
      <c r="F14" s="99"/>
      <c r="G14" s="99"/>
      <c r="H14" s="99"/>
      <c r="I14" s="99"/>
      <c r="J14" s="99"/>
      <c r="K14" s="99"/>
      <c r="L14" s="99"/>
      <c r="M14" s="99"/>
      <c r="N14" s="99">
        <f t="shared" si="2"/>
        <v>60.46440779740729</v>
      </c>
      <c r="O14" s="99">
        <f t="shared" si="2"/>
        <v>63.940731916189698</v>
      </c>
    </row>
    <row r="15" spans="1:15" x14ac:dyDescent="0.25">
      <c r="A15" s="11" t="s">
        <v>28</v>
      </c>
      <c r="B15" s="89">
        <v>-1</v>
      </c>
      <c r="D15" s="96">
        <f t="shared" si="3"/>
        <v>0</v>
      </c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>
        <f t="shared" si="2"/>
        <v>57.17708416417873</v>
      </c>
    </row>
    <row r="16" spans="1:15" ht="9" customHeight="1" x14ac:dyDescent="0.25">
      <c r="D16" s="98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</row>
    <row r="17" spans="5:15" x14ac:dyDescent="0.25">
      <c r="E17" s="110" t="str">
        <f>IF(B15=1,"pdo","cdo")</f>
        <v>cdo</v>
      </c>
    </row>
    <row r="18" spans="5:15" x14ac:dyDescent="0.25">
      <c r="E18" s="96">
        <v>0</v>
      </c>
      <c r="F18" s="96">
        <f>E18+1</f>
        <v>1</v>
      </c>
      <c r="G18" s="96">
        <f t="shared" ref="G18" si="4">F18+1</f>
        <v>2</v>
      </c>
      <c r="H18" s="96">
        <f t="shared" ref="H18" si="5">G18+1</f>
        <v>3</v>
      </c>
      <c r="I18" s="96">
        <f t="shared" ref="I18" si="6">H18+1</f>
        <v>4</v>
      </c>
      <c r="J18" s="96">
        <f t="shared" ref="J18" si="7">I18+1</f>
        <v>5</v>
      </c>
      <c r="K18" s="96">
        <f t="shared" ref="K18" si="8">J18+1</f>
        <v>6</v>
      </c>
      <c r="L18" s="96">
        <f t="shared" ref="L18" si="9">K18+1</f>
        <v>7</v>
      </c>
      <c r="M18" s="96">
        <f t="shared" ref="M18" si="10">L18+1</f>
        <v>8</v>
      </c>
      <c r="N18" s="96">
        <f t="shared" ref="N18" si="11">M18+1</f>
        <v>9</v>
      </c>
      <c r="O18" s="96">
        <f>N18+1</f>
        <v>10</v>
      </c>
    </row>
    <row r="19" spans="5:15" x14ac:dyDescent="0.25">
      <c r="E19" s="111">
        <f t="shared" ref="E19:M26" si="12">IF(E5&gt;$B$3,(F19*$B$11+F20*$B$12)*EXP(-$B$7*$B$6),0)</f>
        <v>10.399335382548488</v>
      </c>
      <c r="F19" s="99">
        <f t="shared" si="12"/>
        <v>15.337148719803464</v>
      </c>
      <c r="G19" s="99">
        <f t="shared" si="12"/>
        <v>20.522185398454226</v>
      </c>
      <c r="H19" s="99">
        <f t="shared" si="12"/>
        <v>26.169097111521765</v>
      </c>
      <c r="I19" s="99">
        <f t="shared" si="12"/>
        <v>32.375848902770457</v>
      </c>
      <c r="J19" s="99">
        <f t="shared" si="12"/>
        <v>39.129091046329073</v>
      </c>
      <c r="K19" s="99">
        <f t="shared" si="12"/>
        <v>46.359297922356831</v>
      </c>
      <c r="L19" s="99">
        <f t="shared" si="12"/>
        <v>54.025158350223641</v>
      </c>
      <c r="M19" s="99">
        <f t="shared" si="12"/>
        <v>62.151799684016574</v>
      </c>
      <c r="N19" s="99">
        <f>IF(N5&gt;$B$3,(O19*$B$11+O20*$B$12)*EXP(-$B$7*$B$6),0)</f>
        <v>70.765794263716515</v>
      </c>
      <c r="O19" s="99">
        <f t="shared" ref="O19:O29" si="13">IF(O5&gt;$B$3,MAX($B$15*($B$2-O5),0),0)</f>
        <v>79.895242494107038</v>
      </c>
    </row>
    <row r="20" spans="5:15" x14ac:dyDescent="0.25">
      <c r="F20" s="97">
        <f t="shared" si="12"/>
        <v>5.0972291517358848</v>
      </c>
      <c r="G20" s="99">
        <f t="shared" si="12"/>
        <v>9.8066065722203017</v>
      </c>
      <c r="H20" s="99">
        <f t="shared" si="12"/>
        <v>14.53100234608856</v>
      </c>
      <c r="I20" s="99">
        <f t="shared" si="12"/>
        <v>19.614222806781807</v>
      </c>
      <c r="J20" s="99">
        <f t="shared" si="12"/>
        <v>25.276546484207216</v>
      </c>
      <c r="K20" s="99">
        <f t="shared" si="12"/>
        <v>31.565823813619225</v>
      </c>
      <c r="L20" s="99">
        <f t="shared" si="12"/>
        <v>38.381152288587415</v>
      </c>
      <c r="M20" s="99">
        <f t="shared" si="12"/>
        <v>45.608361418088158</v>
      </c>
      <c r="N20" s="99">
        <f t="shared" ref="N20:N28" si="14">IF(N6&gt;$B$3,(O20*$B$11+O21*$B$12)*EXP(-$B$7*$B$6),0)</f>
        <v>53.271212084427859</v>
      </c>
      <c r="O20" s="99">
        <f t="shared" si="13"/>
        <v>61.394831593537333</v>
      </c>
    </row>
    <row r="21" spans="5:15" x14ac:dyDescent="0.25">
      <c r="G21" s="97">
        <f t="shared" si="12"/>
        <v>0</v>
      </c>
      <c r="H21" s="97">
        <f t="shared" si="12"/>
        <v>4.7324621723666853</v>
      </c>
      <c r="I21" s="99">
        <f t="shared" si="12"/>
        <v>9.1048279880668446</v>
      </c>
      <c r="J21" s="99">
        <f t="shared" si="12"/>
        <v>13.598607698527081</v>
      </c>
      <c r="K21" s="99">
        <f t="shared" si="12"/>
        <v>18.624119535476613</v>
      </c>
      <c r="L21" s="99">
        <f t="shared" si="12"/>
        <v>24.391968485944453</v>
      </c>
      <c r="M21" s="99">
        <f t="shared" si="12"/>
        <v>30.814887309350546</v>
      </c>
      <c r="N21" s="99">
        <f t="shared" si="14"/>
        <v>37.627206022791626</v>
      </c>
      <c r="O21" s="99">
        <f t="shared" si="13"/>
        <v>44.851393327608918</v>
      </c>
    </row>
    <row r="22" spans="5:15" x14ac:dyDescent="0.25">
      <c r="I22" s="97">
        <f t="shared" si="12"/>
        <v>0</v>
      </c>
      <c r="J22" s="97">
        <f t="shared" si="12"/>
        <v>4.2765022738389362</v>
      </c>
      <c r="K22" s="99">
        <f t="shared" si="12"/>
        <v>8.2276024985970686</v>
      </c>
      <c r="L22" s="99">
        <f t="shared" si="12"/>
        <v>12.485031446404335</v>
      </c>
      <c r="M22" s="99">
        <f t="shared" si="12"/>
        <v>17.586266227806099</v>
      </c>
      <c r="N22" s="99">
        <f t="shared" si="14"/>
        <v>23.638022220148663</v>
      </c>
      <c r="O22" s="99">
        <f t="shared" si="13"/>
        <v>30.057919218871305</v>
      </c>
    </row>
    <row r="23" spans="5:15" x14ac:dyDescent="0.25">
      <c r="J23" s="97">
        <f t="shared" si="12"/>
        <v>0</v>
      </c>
      <c r="K23" s="97">
        <f t="shared" si="12"/>
        <v>0</v>
      </c>
      <c r="L23" s="97">
        <f t="shared" si="12"/>
        <v>3.6498838145074566</v>
      </c>
      <c r="M23" s="99">
        <f t="shared" si="12"/>
        <v>7.0220454167731248</v>
      </c>
      <c r="N23" s="99">
        <f t="shared" si="14"/>
        <v>11.128613652222034</v>
      </c>
      <c r="O23" s="99">
        <f t="shared" si="13"/>
        <v>16.829298137326859</v>
      </c>
    </row>
    <row r="24" spans="5:15" x14ac:dyDescent="0.25">
      <c r="K24" s="97">
        <f t="shared" si="12"/>
        <v>0</v>
      </c>
      <c r="L24" s="97">
        <f t="shared" si="12"/>
        <v>0</v>
      </c>
      <c r="M24" s="97">
        <f t="shared" si="12"/>
        <v>0</v>
      </c>
      <c r="N24" s="97">
        <f t="shared" si="14"/>
        <v>2.598875112505842</v>
      </c>
      <c r="O24" s="97">
        <f t="shared" si="13"/>
        <v>5.0000000000000284</v>
      </c>
    </row>
    <row r="25" spans="5:15" x14ac:dyDescent="0.25">
      <c r="L25" s="97">
        <f t="shared" si="12"/>
        <v>0</v>
      </c>
      <c r="M25" s="97">
        <f t="shared" si="12"/>
        <v>0</v>
      </c>
      <c r="N25" s="97">
        <f t="shared" si="14"/>
        <v>0</v>
      </c>
      <c r="O25" s="97">
        <f t="shared" si="13"/>
        <v>0</v>
      </c>
    </row>
    <row r="26" spans="5:15" x14ac:dyDescent="0.25">
      <c r="M26" s="97">
        <f t="shared" si="12"/>
        <v>0</v>
      </c>
      <c r="N26" s="97">
        <f t="shared" si="14"/>
        <v>0</v>
      </c>
      <c r="O26" s="97">
        <f t="shared" si="13"/>
        <v>0</v>
      </c>
    </row>
    <row r="27" spans="5:15" x14ac:dyDescent="0.25">
      <c r="N27" s="97">
        <f t="shared" si="14"/>
        <v>0</v>
      </c>
      <c r="O27" s="97">
        <f t="shared" si="13"/>
        <v>0</v>
      </c>
    </row>
    <row r="28" spans="5:15" x14ac:dyDescent="0.25">
      <c r="N28" s="97">
        <f t="shared" si="14"/>
        <v>0</v>
      </c>
      <c r="O28" s="97">
        <f t="shared" si="13"/>
        <v>0</v>
      </c>
    </row>
    <row r="29" spans="5:15" x14ac:dyDescent="0.25">
      <c r="O29" s="97">
        <f t="shared" si="13"/>
        <v>0</v>
      </c>
    </row>
  </sheetData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S18"/>
  <sheetViews>
    <sheetView showGridLines="0" zoomScale="80" zoomScaleNormal="80" workbookViewId="0">
      <selection activeCell="B3" sqref="B3"/>
    </sheetView>
  </sheetViews>
  <sheetFormatPr defaultRowHeight="15" x14ac:dyDescent="0.25"/>
  <cols>
    <col min="1" max="1" width="13.28515625" customWidth="1"/>
    <col min="3" max="3" width="3.140625" customWidth="1"/>
    <col min="4" max="4" width="3" customWidth="1"/>
    <col min="5" max="15" width="9.7109375" customWidth="1"/>
    <col min="16" max="16" width="1.85546875" customWidth="1"/>
    <col min="17" max="19" width="18.7109375" customWidth="1"/>
  </cols>
  <sheetData>
    <row r="1" spans="1:19" x14ac:dyDescent="0.25">
      <c r="A1" s="9" t="s">
        <v>0</v>
      </c>
      <c r="B1" s="87">
        <v>100</v>
      </c>
      <c r="E1" s="104" t="s">
        <v>48</v>
      </c>
      <c r="F1" s="105"/>
      <c r="G1" s="106">
        <f>BarrierOption(R18,B1,B2,B3,B13,B4,B7,B8,B14)</f>
        <v>7.7833181406411853</v>
      </c>
      <c r="J1" t="s">
        <v>77</v>
      </c>
    </row>
    <row r="2" spans="1:19" x14ac:dyDescent="0.25">
      <c r="A2" s="10" t="s">
        <v>1</v>
      </c>
      <c r="B2" s="88">
        <v>90</v>
      </c>
      <c r="J2" t="s">
        <v>78</v>
      </c>
    </row>
    <row r="3" spans="1:19" x14ac:dyDescent="0.25">
      <c r="A3" s="10" t="s">
        <v>6</v>
      </c>
      <c r="B3" s="88">
        <v>95</v>
      </c>
    </row>
    <row r="4" spans="1:19" x14ac:dyDescent="0.25">
      <c r="A4" s="10" t="s">
        <v>2</v>
      </c>
      <c r="B4" s="88">
        <v>0.5</v>
      </c>
      <c r="D4" s="97"/>
      <c r="E4" s="96">
        <v>0</v>
      </c>
      <c r="F4" s="96">
        <f>E4+1</f>
        <v>1</v>
      </c>
      <c r="G4" s="96">
        <f t="shared" ref="G4:N4" si="0">F4+1</f>
        <v>2</v>
      </c>
      <c r="H4" s="96">
        <f t="shared" si="0"/>
        <v>3</v>
      </c>
      <c r="I4" s="96">
        <f t="shared" si="0"/>
        <v>4</v>
      </c>
      <c r="J4" s="96">
        <f t="shared" si="0"/>
        <v>5</v>
      </c>
      <c r="K4" s="96">
        <f t="shared" si="0"/>
        <v>6</v>
      </c>
      <c r="L4" s="96">
        <f t="shared" si="0"/>
        <v>7</v>
      </c>
      <c r="M4" s="96">
        <f t="shared" si="0"/>
        <v>8</v>
      </c>
      <c r="N4" s="96">
        <f t="shared" si="0"/>
        <v>9</v>
      </c>
      <c r="O4" s="96">
        <f>N4+1</f>
        <v>10</v>
      </c>
      <c r="P4" s="93"/>
      <c r="Q4" s="86" t="s">
        <v>25</v>
      </c>
      <c r="R4" s="86" t="s">
        <v>26</v>
      </c>
      <c r="S4" s="86" t="s">
        <v>27</v>
      </c>
    </row>
    <row r="5" spans="1:19" x14ac:dyDescent="0.25">
      <c r="A5" s="10" t="s">
        <v>18</v>
      </c>
      <c r="B5" s="88">
        <v>10</v>
      </c>
      <c r="D5" s="96">
        <v>10</v>
      </c>
      <c r="E5" s="99">
        <f>B1</f>
        <v>100</v>
      </c>
      <c r="F5" s="99">
        <f>E5*$B$9</f>
        <v>105.74937263990118</v>
      </c>
      <c r="G5" s="99">
        <f t="shared" ref="G5:O5" si="1">F5*$B$9</f>
        <v>111.82929813732682</v>
      </c>
      <c r="H5" s="99">
        <f t="shared" si="1"/>
        <v>118.25878120782781</v>
      </c>
      <c r="I5" s="99">
        <f t="shared" si="1"/>
        <v>125.05791921887126</v>
      </c>
      <c r="J5" s="99">
        <f t="shared" si="1"/>
        <v>132.24796501047078</v>
      </c>
      <c r="K5" s="99">
        <f t="shared" si="1"/>
        <v>139.85139332760889</v>
      </c>
      <c r="L5" s="99">
        <f t="shared" si="1"/>
        <v>147.89197107210703</v>
      </c>
      <c r="M5" s="99">
        <f t="shared" si="1"/>
        <v>156.39483159353733</v>
      </c>
      <c r="N5" s="99">
        <f t="shared" si="1"/>
        <v>165.3865532513957</v>
      </c>
      <c r="O5" s="99">
        <f t="shared" si="1"/>
        <v>174.89524249410704</v>
      </c>
      <c r="P5" s="93"/>
      <c r="Q5" s="101">
        <f>COMBIN($B$5,D5)*$B$11^D5*$B$12^($B$5-D5)</f>
        <v>1.4980483760880078E-3</v>
      </c>
      <c r="R5" s="101">
        <f>Brownian_bridge($B$1,$B$3,$B$9,$B$10,D5,$B$5,$B$6,$B$8)</f>
        <v>0.13486124825428916</v>
      </c>
      <c r="S5" s="101">
        <f>(1-R5)*Q5*MAX(0,$B$15*($B$2-O5))</f>
        <v>0.11002590689061012</v>
      </c>
    </row>
    <row r="6" spans="1:19" x14ac:dyDescent="0.25">
      <c r="A6" s="10" t="s">
        <v>22</v>
      </c>
      <c r="B6" s="88">
        <f>B4/B5</f>
        <v>0.05</v>
      </c>
      <c r="D6" s="96">
        <f>D5-1</f>
        <v>9</v>
      </c>
      <c r="E6" s="99"/>
      <c r="F6" s="99">
        <f>E5*$B$10</f>
        <v>94.563208748784731</v>
      </c>
      <c r="G6" s="99">
        <f t="shared" ref="G6:O15" si="2">F5*$B$10</f>
        <v>100</v>
      </c>
      <c r="H6" s="99">
        <f t="shared" si="2"/>
        <v>105.7493726399012</v>
      </c>
      <c r="I6" s="99">
        <f t="shared" si="2"/>
        <v>111.82929813732682</v>
      </c>
      <c r="J6" s="99">
        <f t="shared" si="2"/>
        <v>118.25878120782781</v>
      </c>
      <c r="K6" s="99">
        <f t="shared" si="2"/>
        <v>125.05791921887128</v>
      </c>
      <c r="L6" s="99">
        <f t="shared" si="2"/>
        <v>132.24796501047081</v>
      </c>
      <c r="M6" s="99">
        <f t="shared" si="2"/>
        <v>139.85139332760889</v>
      </c>
      <c r="N6" s="99">
        <f t="shared" si="2"/>
        <v>147.89197107210705</v>
      </c>
      <c r="O6" s="99">
        <f t="shared" si="2"/>
        <v>156.39483159353733</v>
      </c>
      <c r="P6" s="93"/>
      <c r="Q6" s="101">
        <f t="shared" ref="Q6:Q15" si="3">COMBIN($B$5,D6)*$B$11^D6*$B$12^($B$5-D6)</f>
        <v>1.3725554167368056E-2</v>
      </c>
      <c r="R6" s="101">
        <f t="shared" ref="R6:R15" si="4">Brownian_bridge($B$1,$B$3,$B$9,$B$10,D6,$B$5,$B$6,$B$8)</f>
        <v>0.19466329949969549</v>
      </c>
      <c r="S6" s="101">
        <f t="shared" ref="S6:S15" si="5">(1-R6)*Q6*MAX(0,$B$15*($B$2-O6))</f>
        <v>0.7339080524017938</v>
      </c>
    </row>
    <row r="7" spans="1:19" x14ac:dyDescent="0.25">
      <c r="A7" s="10" t="s">
        <v>3</v>
      </c>
      <c r="B7" s="88">
        <v>0.08</v>
      </c>
      <c r="D7" s="96">
        <f t="shared" ref="D7:D15" si="6">D6-1</f>
        <v>8</v>
      </c>
      <c r="E7" s="99"/>
      <c r="F7" s="99"/>
      <c r="G7" s="99">
        <f t="shared" si="2"/>
        <v>89.422004488662367</v>
      </c>
      <c r="H7" s="99">
        <f t="shared" si="2"/>
        <v>94.563208748784731</v>
      </c>
      <c r="I7" s="99">
        <f t="shared" si="2"/>
        <v>100.00000000000001</v>
      </c>
      <c r="J7" s="99">
        <f t="shared" si="2"/>
        <v>105.7493726399012</v>
      </c>
      <c r="K7" s="99">
        <f t="shared" si="2"/>
        <v>111.82929813732682</v>
      </c>
      <c r="L7" s="99">
        <f t="shared" si="2"/>
        <v>118.25878120782782</v>
      </c>
      <c r="M7" s="99">
        <f t="shared" si="2"/>
        <v>125.05791921887131</v>
      </c>
      <c r="N7" s="99">
        <f t="shared" si="2"/>
        <v>132.24796501047081</v>
      </c>
      <c r="O7" s="99">
        <f t="shared" si="2"/>
        <v>139.85139332760892</v>
      </c>
      <c r="P7" s="93"/>
      <c r="Q7" s="101">
        <f t="shared" si="3"/>
        <v>5.6590880570888277E-2</v>
      </c>
      <c r="R7" s="101">
        <f t="shared" si="4"/>
        <v>0.28098360843180864</v>
      </c>
      <c r="S7" s="101">
        <f t="shared" si="5"/>
        <v>2.0284417657567437</v>
      </c>
    </row>
    <row r="8" spans="1:19" x14ac:dyDescent="0.25">
      <c r="A8" s="10" t="s">
        <v>19</v>
      </c>
      <c r="B8" s="88">
        <v>0.25</v>
      </c>
      <c r="D8" s="96">
        <f t="shared" si="6"/>
        <v>7</v>
      </c>
      <c r="E8" s="99"/>
      <c r="F8" s="99"/>
      <c r="G8" s="99"/>
      <c r="H8" s="99">
        <f t="shared" si="2"/>
        <v>84.560316771961453</v>
      </c>
      <c r="I8" s="99">
        <f t="shared" si="2"/>
        <v>89.422004488662367</v>
      </c>
      <c r="J8" s="99">
        <f t="shared" si="2"/>
        <v>94.563208748784746</v>
      </c>
      <c r="K8" s="99">
        <f t="shared" si="2"/>
        <v>100.00000000000001</v>
      </c>
      <c r="L8" s="99">
        <f t="shared" si="2"/>
        <v>105.7493726399012</v>
      </c>
      <c r="M8" s="99">
        <f t="shared" si="2"/>
        <v>111.82929813732683</v>
      </c>
      <c r="N8" s="99">
        <f t="shared" si="2"/>
        <v>118.25878120782785</v>
      </c>
      <c r="O8" s="99">
        <f t="shared" si="2"/>
        <v>125.05791921887131</v>
      </c>
      <c r="P8" s="93"/>
      <c r="Q8" s="101">
        <f t="shared" si="3"/>
        <v>0.1382672209261421</v>
      </c>
      <c r="R8" s="101">
        <f t="shared" si="4"/>
        <v>0.40558126986583576</v>
      </c>
      <c r="S8" s="101">
        <f t="shared" si="5"/>
        <v>2.8813622068846034</v>
      </c>
    </row>
    <row r="9" spans="1:19" x14ac:dyDescent="0.25">
      <c r="A9" s="10" t="s">
        <v>20</v>
      </c>
      <c r="B9" s="90">
        <f>EXP(B8*SQRT(B6))</f>
        <v>1.0574937263990118</v>
      </c>
      <c r="D9" s="96">
        <f t="shared" si="6"/>
        <v>6</v>
      </c>
      <c r="E9" s="99"/>
      <c r="F9" s="99"/>
      <c r="G9" s="99"/>
      <c r="H9" s="99"/>
      <c r="I9" s="99">
        <f t="shared" si="2"/>
        <v>79.962948867703531</v>
      </c>
      <c r="J9" s="99">
        <f t="shared" si="2"/>
        <v>84.560316771961453</v>
      </c>
      <c r="K9" s="99">
        <f t="shared" si="2"/>
        <v>89.422004488662381</v>
      </c>
      <c r="L9" s="99">
        <f t="shared" si="2"/>
        <v>94.563208748784746</v>
      </c>
      <c r="M9" s="99">
        <f t="shared" si="2"/>
        <v>100.00000000000001</v>
      </c>
      <c r="N9" s="99">
        <f t="shared" si="2"/>
        <v>105.74937263990121</v>
      </c>
      <c r="O9" s="99">
        <f t="shared" si="2"/>
        <v>111.82929813732686</v>
      </c>
      <c r="P9" s="93"/>
      <c r="Q9" s="101">
        <f t="shared" si="3"/>
        <v>0.22169777399718663</v>
      </c>
      <c r="R9" s="101">
        <f t="shared" si="4"/>
        <v>0.58542976006340619</v>
      </c>
      <c r="S9" s="101">
        <f t="shared" si="5"/>
        <v>2.0063154973096564</v>
      </c>
    </row>
    <row r="10" spans="1:19" x14ac:dyDescent="0.25">
      <c r="A10" s="10" t="s">
        <v>21</v>
      </c>
      <c r="B10" s="90">
        <f>1/B9</f>
        <v>0.94563208748784733</v>
      </c>
      <c r="D10" s="96">
        <f t="shared" si="6"/>
        <v>5</v>
      </c>
      <c r="E10" s="99"/>
      <c r="F10" s="99"/>
      <c r="G10" s="99"/>
      <c r="H10" s="99"/>
      <c r="I10" s="99"/>
      <c r="J10" s="99">
        <f t="shared" si="2"/>
        <v>75.615530259450495</v>
      </c>
      <c r="K10" s="99">
        <f t="shared" si="2"/>
        <v>79.962948867703531</v>
      </c>
      <c r="L10" s="99">
        <f t="shared" si="2"/>
        <v>84.560316771961467</v>
      </c>
      <c r="M10" s="99">
        <f t="shared" si="2"/>
        <v>89.422004488662381</v>
      </c>
      <c r="N10" s="99">
        <f t="shared" si="2"/>
        <v>94.563208748784746</v>
      </c>
      <c r="O10" s="99">
        <f t="shared" si="2"/>
        <v>100.00000000000003</v>
      </c>
      <c r="P10" s="93"/>
      <c r="Q10" s="101">
        <f t="shared" si="3"/>
        <v>0.24375112481183636</v>
      </c>
      <c r="R10" s="101">
        <f t="shared" si="4"/>
        <v>0.84502917030973868</v>
      </c>
      <c r="S10" s="101">
        <f t="shared" si="5"/>
        <v>0.37774314050024832</v>
      </c>
    </row>
    <row r="11" spans="1:19" x14ac:dyDescent="0.25">
      <c r="A11" s="10" t="s">
        <v>23</v>
      </c>
      <c r="B11" s="90">
        <f>(EXP(B7*B6)-B10)/(B9-B10)</f>
        <v>0.52185828634116571</v>
      </c>
      <c r="D11" s="96">
        <f t="shared" si="6"/>
        <v>4</v>
      </c>
      <c r="E11" s="99"/>
      <c r="F11" s="99"/>
      <c r="G11" s="99"/>
      <c r="H11" s="99"/>
      <c r="I11" s="99"/>
      <c r="J11" s="99"/>
      <c r="K11" s="99">
        <f t="shared" si="2"/>
        <v>71.504471725744651</v>
      </c>
      <c r="L11" s="99">
        <f t="shared" si="2"/>
        <v>75.615530259450495</v>
      </c>
      <c r="M11" s="99">
        <f t="shared" si="2"/>
        <v>79.962948867703545</v>
      </c>
      <c r="N11" s="99">
        <f t="shared" si="2"/>
        <v>84.560316771961467</v>
      </c>
      <c r="O11" s="99">
        <f t="shared" si="2"/>
        <v>89.422004488662381</v>
      </c>
      <c r="P11" s="93"/>
      <c r="Q11" s="101">
        <f t="shared" si="3"/>
        <v>0.18610988138327439</v>
      </c>
      <c r="R11" s="101">
        <f t="shared" si="4"/>
        <v>1</v>
      </c>
      <c r="S11" s="101">
        <f t="shared" si="5"/>
        <v>0</v>
      </c>
    </row>
    <row r="12" spans="1:19" x14ac:dyDescent="0.25">
      <c r="A12" s="10" t="s">
        <v>24</v>
      </c>
      <c r="B12" s="90">
        <f>1-B11</f>
        <v>0.47814171365883429</v>
      </c>
      <c r="D12" s="96">
        <f t="shared" si="6"/>
        <v>3</v>
      </c>
      <c r="E12" s="99"/>
      <c r="F12" s="99"/>
      <c r="G12" s="99"/>
      <c r="H12" s="99"/>
      <c r="I12" s="99"/>
      <c r="J12" s="99"/>
      <c r="K12" s="99"/>
      <c r="L12" s="99">
        <f t="shared" si="2"/>
        <v>67.61692286273167</v>
      </c>
      <c r="M12" s="99">
        <f t="shared" si="2"/>
        <v>71.504471725744651</v>
      </c>
      <c r="N12" s="99">
        <f t="shared" si="2"/>
        <v>75.615530259450495</v>
      </c>
      <c r="O12" s="99">
        <f t="shared" si="2"/>
        <v>79.962948867703545</v>
      </c>
      <c r="P12" s="93"/>
      <c r="Q12" s="101">
        <f t="shared" si="3"/>
        <v>9.7439586780588602E-2</v>
      </c>
      <c r="R12" s="101">
        <f t="shared" si="4"/>
        <v>1</v>
      </c>
      <c r="S12" s="101">
        <f t="shared" si="5"/>
        <v>0</v>
      </c>
    </row>
    <row r="13" spans="1:19" x14ac:dyDescent="0.25">
      <c r="A13" s="10" t="s">
        <v>9</v>
      </c>
      <c r="B13" s="88">
        <v>0</v>
      </c>
      <c r="D13" s="96">
        <f t="shared" si="6"/>
        <v>2</v>
      </c>
      <c r="E13" s="99"/>
      <c r="F13" s="99"/>
      <c r="G13" s="99"/>
      <c r="H13" s="99"/>
      <c r="I13" s="99"/>
      <c r="J13" s="99"/>
      <c r="K13" s="99"/>
      <c r="L13" s="99"/>
      <c r="M13" s="99">
        <f t="shared" si="2"/>
        <v>63.940731916189698</v>
      </c>
      <c r="N13" s="99">
        <f t="shared" si="2"/>
        <v>67.61692286273167</v>
      </c>
      <c r="O13" s="99">
        <f t="shared" si="2"/>
        <v>71.504471725744651</v>
      </c>
      <c r="P13" s="93"/>
      <c r="Q13" s="101">
        <f t="shared" si="3"/>
        <v>3.3478866931573273E-2</v>
      </c>
      <c r="R13" s="101">
        <f t="shared" si="4"/>
        <v>1</v>
      </c>
      <c r="S13" s="101">
        <f t="shared" si="5"/>
        <v>0</v>
      </c>
    </row>
    <row r="14" spans="1:19" x14ac:dyDescent="0.25">
      <c r="A14" s="10" t="s">
        <v>4</v>
      </c>
      <c r="B14" s="88">
        <v>0.08</v>
      </c>
      <c r="D14" s="96">
        <f t="shared" si="6"/>
        <v>1</v>
      </c>
      <c r="E14" s="99"/>
      <c r="F14" s="99"/>
      <c r="G14" s="99"/>
      <c r="H14" s="99"/>
      <c r="I14" s="99"/>
      <c r="J14" s="99"/>
      <c r="K14" s="99"/>
      <c r="L14" s="99"/>
      <c r="M14" s="99"/>
      <c r="N14" s="99">
        <f t="shared" si="2"/>
        <v>60.46440779740729</v>
      </c>
      <c r="O14" s="99">
        <f t="shared" si="2"/>
        <v>63.940731916189698</v>
      </c>
      <c r="P14" s="93"/>
      <c r="Q14" s="101">
        <f t="shared" si="3"/>
        <v>6.8165133140521694E-3</v>
      </c>
      <c r="R14" s="101">
        <f t="shared" si="4"/>
        <v>1</v>
      </c>
      <c r="S14" s="101">
        <f t="shared" si="5"/>
        <v>0</v>
      </c>
    </row>
    <row r="15" spans="1:19" x14ac:dyDescent="0.25">
      <c r="A15" s="11" t="s">
        <v>28</v>
      </c>
      <c r="B15" s="89">
        <v>-1</v>
      </c>
      <c r="D15" s="96">
        <f t="shared" si="6"/>
        <v>0</v>
      </c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>
        <f t="shared" si="2"/>
        <v>57.17708416417873</v>
      </c>
      <c r="P15" s="93"/>
      <c r="Q15" s="101">
        <f t="shared" si="3"/>
        <v>6.2454874100215357E-4</v>
      </c>
      <c r="R15" s="101">
        <f t="shared" si="4"/>
        <v>1</v>
      </c>
      <c r="S15" s="101">
        <f t="shared" si="5"/>
        <v>0</v>
      </c>
    </row>
    <row r="16" spans="1:19" x14ac:dyDescent="0.25">
      <c r="P16" s="93"/>
      <c r="Q16" s="102">
        <f>SUM(Q5:Q15)</f>
        <v>1.0000000000000002</v>
      </c>
      <c r="R16" s="103"/>
      <c r="S16" s="102">
        <f>SUM(S5:S15)</f>
        <v>8.1377965697436547</v>
      </c>
    </row>
    <row r="17" spans="18:19" x14ac:dyDescent="0.25">
      <c r="R17" s="104" t="s">
        <v>29</v>
      </c>
      <c r="S17" s="112">
        <f>(S16+T16)*EXP(-B7*B4)</f>
        <v>7.8187090021797054</v>
      </c>
    </row>
    <row r="18" spans="18:19" x14ac:dyDescent="0.25">
      <c r="R18" s="139" t="str">
        <f>IF(B15=1,"pdo","cdo")</f>
        <v>cdo</v>
      </c>
      <c r="S18" s="140"/>
    </row>
  </sheetData>
  <mergeCells count="1">
    <mergeCell ref="R18:S18"/>
  </mergeCells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G27"/>
  <sheetViews>
    <sheetView showGridLines="0" zoomScale="80" zoomScaleNormal="80" workbookViewId="0">
      <selection activeCell="B3" sqref="B3"/>
    </sheetView>
  </sheetViews>
  <sheetFormatPr defaultRowHeight="15" x14ac:dyDescent="0.25"/>
  <cols>
    <col min="1" max="1" width="14.140625" customWidth="1"/>
    <col min="2" max="2" width="7" customWidth="1"/>
    <col min="3" max="3" width="5.85546875" customWidth="1"/>
    <col min="4" max="4" width="6.85546875" customWidth="1"/>
    <col min="5" max="7" width="20.7109375" customWidth="1"/>
    <col min="8" max="8" width="15.5703125" customWidth="1"/>
  </cols>
  <sheetData>
    <row r="1" spans="1:7" x14ac:dyDescent="0.25">
      <c r="A1" s="12" t="s">
        <v>0</v>
      </c>
      <c r="B1" s="4">
        <v>100</v>
      </c>
      <c r="D1" t="s">
        <v>79</v>
      </c>
    </row>
    <row r="2" spans="1:7" x14ac:dyDescent="0.25">
      <c r="A2" s="114" t="s">
        <v>1</v>
      </c>
      <c r="B2" s="5">
        <v>90</v>
      </c>
      <c r="D2" t="s">
        <v>80</v>
      </c>
    </row>
    <row r="3" spans="1:7" x14ac:dyDescent="0.25">
      <c r="A3" s="114" t="s">
        <v>6</v>
      </c>
      <c r="B3" s="5">
        <v>95</v>
      </c>
      <c r="D3" s="120" t="s">
        <v>18</v>
      </c>
      <c r="E3" s="120" t="s">
        <v>43</v>
      </c>
      <c r="F3" s="120" t="s">
        <v>44</v>
      </c>
      <c r="G3" s="120" t="s">
        <v>45</v>
      </c>
    </row>
    <row r="4" spans="1:7" x14ac:dyDescent="0.25">
      <c r="A4" s="114" t="s">
        <v>2</v>
      </c>
      <c r="B4" s="5">
        <v>0.5</v>
      </c>
      <c r="D4" s="118">
        <f>10</f>
        <v>10</v>
      </c>
      <c r="E4">
        <f>BinomialBridgeBarrier($B$9,$B$10,$B$1,$B$2,$B$3,$B$4,$B$5,$B$6,D4)</f>
        <v>7.8187090021797001</v>
      </c>
      <c r="F4">
        <f>BinomialBarrier($B$9,$B$1,$B$2,$B$3,$B$4,D4,$B$5,$B$6)</f>
        <v>8.3122648943166144</v>
      </c>
      <c r="G4">
        <f>B11</f>
        <v>7.7833181406411853</v>
      </c>
    </row>
    <row r="5" spans="1:7" x14ac:dyDescent="0.25">
      <c r="A5" s="114" t="s">
        <v>3</v>
      </c>
      <c r="B5" s="5">
        <v>0.08</v>
      </c>
      <c r="D5" s="118">
        <f>D4+40</f>
        <v>50</v>
      </c>
      <c r="E5">
        <f t="shared" ref="E5:E24" si="0">BinomialBridgeBarrier($B$9,$B$10,$B$1,$B$2,$B$3,$B$4,$B$5,$B$6,D5)</f>
        <v>7.7817480594170885</v>
      </c>
      <c r="F5">
        <f t="shared" ref="F5:F27" si="1">BinomialBarrier($B$9,$B$1,$B$2,$B$3,$B$4,D5,$B$5,$B$6)</f>
        <v>10.201400176049999</v>
      </c>
      <c r="G5">
        <f>G4</f>
        <v>7.7833181406411853</v>
      </c>
    </row>
    <row r="6" spans="1:7" x14ac:dyDescent="0.25">
      <c r="A6" s="114" t="s">
        <v>19</v>
      </c>
      <c r="B6" s="5">
        <v>0.25</v>
      </c>
      <c r="D6" s="118">
        <f>D5+50</f>
        <v>100</v>
      </c>
      <c r="E6">
        <f t="shared" si="0"/>
        <v>7.7870601982725098</v>
      </c>
      <c r="F6">
        <f t="shared" si="1"/>
        <v>7.9843909900176504</v>
      </c>
      <c r="G6">
        <f t="shared" ref="G6:G18" si="2">G5</f>
        <v>7.7833181406411853</v>
      </c>
    </row>
    <row r="7" spans="1:7" x14ac:dyDescent="0.25">
      <c r="A7" s="114" t="s">
        <v>9</v>
      </c>
      <c r="B7" s="5">
        <v>0</v>
      </c>
      <c r="D7" s="118">
        <f t="shared" ref="D7:D24" si="3">D6+50</f>
        <v>150</v>
      </c>
      <c r="E7">
        <f t="shared" si="0"/>
        <v>7.7851367008805541</v>
      </c>
      <c r="F7">
        <f t="shared" si="1"/>
        <v>8.5100678442347153</v>
      </c>
      <c r="G7">
        <f t="shared" si="2"/>
        <v>7.7833181406411853</v>
      </c>
    </row>
    <row r="8" spans="1:7" x14ac:dyDescent="0.25">
      <c r="A8" s="114" t="s">
        <v>4</v>
      </c>
      <c r="B8" s="5">
        <v>0.08</v>
      </c>
      <c r="D8" s="118">
        <f t="shared" si="3"/>
        <v>200</v>
      </c>
      <c r="E8">
        <f t="shared" si="0"/>
        <v>7.7831630382285732</v>
      </c>
      <c r="F8">
        <f t="shared" si="1"/>
        <v>9.0086340004553609</v>
      </c>
      <c r="G8">
        <f t="shared" si="2"/>
        <v>7.7833181406411853</v>
      </c>
    </row>
    <row r="9" spans="1:7" x14ac:dyDescent="0.25">
      <c r="A9" s="114" t="s">
        <v>55</v>
      </c>
      <c r="B9" s="116" t="s">
        <v>46</v>
      </c>
      <c r="D9" s="118">
        <f t="shared" si="3"/>
        <v>250</v>
      </c>
      <c r="E9">
        <f t="shared" si="0"/>
        <v>7.7844346198942382</v>
      </c>
      <c r="F9">
        <f t="shared" si="1"/>
        <v>8.3060266939539016</v>
      </c>
      <c r="G9">
        <f t="shared" si="2"/>
        <v>7.7833181406411853</v>
      </c>
    </row>
    <row r="10" spans="1:7" x14ac:dyDescent="0.25">
      <c r="A10" s="115" t="s">
        <v>47</v>
      </c>
      <c r="B10" s="117" t="s">
        <v>51</v>
      </c>
      <c r="D10" s="118">
        <f t="shared" si="3"/>
        <v>300</v>
      </c>
      <c r="E10">
        <f t="shared" si="0"/>
        <v>7.7846255713842325</v>
      </c>
      <c r="F10">
        <f t="shared" si="1"/>
        <v>8.8796948075873949</v>
      </c>
      <c r="G10">
        <f t="shared" si="2"/>
        <v>7.7833181406411853</v>
      </c>
    </row>
    <row r="11" spans="1:7" x14ac:dyDescent="0.25">
      <c r="A11" s="119" t="s">
        <v>49</v>
      </c>
      <c r="B11" s="113">
        <f>BarrierOption("cdo",B1,B2,B3,B7,B4,B5,B6,B8)</f>
        <v>7.7833181406411853</v>
      </c>
      <c r="D11" s="118">
        <f t="shared" si="3"/>
        <v>350</v>
      </c>
      <c r="E11">
        <f t="shared" si="0"/>
        <v>7.7842323257100041</v>
      </c>
      <c r="F11">
        <f t="shared" si="1"/>
        <v>8.3945815968018209</v>
      </c>
      <c r="G11">
        <f t="shared" si="2"/>
        <v>7.7833181406411853</v>
      </c>
    </row>
    <row r="12" spans="1:7" x14ac:dyDescent="0.25">
      <c r="D12" s="118">
        <f t="shared" si="3"/>
        <v>400</v>
      </c>
      <c r="E12">
        <f t="shared" si="0"/>
        <v>7.7835198856236065</v>
      </c>
      <c r="F12">
        <f t="shared" si="1"/>
        <v>7.9851018774347517</v>
      </c>
      <c r="G12">
        <f t="shared" si="2"/>
        <v>7.7833181406411853</v>
      </c>
    </row>
    <row r="13" spans="1:7" x14ac:dyDescent="0.25">
      <c r="D13" s="118">
        <f t="shared" si="3"/>
        <v>450</v>
      </c>
      <c r="E13">
        <f t="shared" si="0"/>
        <v>7.7833526341689891</v>
      </c>
      <c r="F13">
        <f t="shared" si="1"/>
        <v>8.5709078766330435</v>
      </c>
      <c r="G13">
        <f t="shared" si="2"/>
        <v>7.7833181406411853</v>
      </c>
    </row>
    <row r="14" spans="1:7" x14ac:dyDescent="0.25">
      <c r="D14" s="118">
        <f t="shared" si="3"/>
        <v>500</v>
      </c>
      <c r="E14">
        <f t="shared" si="0"/>
        <v>7.7837941939132431</v>
      </c>
      <c r="F14">
        <f t="shared" si="1"/>
        <v>8.2435899788337164</v>
      </c>
      <c r="G14">
        <f t="shared" si="2"/>
        <v>7.7833181406411853</v>
      </c>
    </row>
    <row r="15" spans="1:7" x14ac:dyDescent="0.25">
      <c r="D15" s="118">
        <f t="shared" si="3"/>
        <v>550</v>
      </c>
      <c r="E15">
        <f t="shared" si="0"/>
        <v>7.7839764212557423</v>
      </c>
      <c r="F15">
        <f t="shared" si="1"/>
        <v>7.9531118481357437</v>
      </c>
      <c r="G15">
        <f t="shared" si="2"/>
        <v>7.7833181406411853</v>
      </c>
    </row>
    <row r="16" spans="1:7" x14ac:dyDescent="0.25">
      <c r="D16" s="118">
        <f t="shared" si="3"/>
        <v>600</v>
      </c>
      <c r="E16">
        <f t="shared" si="0"/>
        <v>7.7839683489139064</v>
      </c>
      <c r="F16">
        <f t="shared" si="1"/>
        <v>8.5071438216278192</v>
      </c>
      <c r="G16">
        <f t="shared" si="2"/>
        <v>7.7833181406411853</v>
      </c>
    </row>
    <row r="17" spans="4:7" x14ac:dyDescent="0.25">
      <c r="D17" s="118">
        <f t="shared" si="3"/>
        <v>650</v>
      </c>
      <c r="E17">
        <f t="shared" si="0"/>
        <v>7.7838200166906937</v>
      </c>
      <c r="F17">
        <f t="shared" si="1"/>
        <v>8.2587834172350512</v>
      </c>
      <c r="G17">
        <f t="shared" si="2"/>
        <v>7.7833181406411853</v>
      </c>
    </row>
    <row r="18" spans="4:7" x14ac:dyDescent="0.25">
      <c r="D18" s="118">
        <f t="shared" si="3"/>
        <v>700</v>
      </c>
      <c r="E18">
        <f t="shared" si="0"/>
        <v>7.7835680229906119</v>
      </c>
      <c r="F18">
        <f t="shared" si="1"/>
        <v>8.0321840891773153</v>
      </c>
      <c r="G18">
        <f t="shared" si="2"/>
        <v>7.7833181406411853</v>
      </c>
    </row>
    <row r="19" spans="4:7" x14ac:dyDescent="0.25">
      <c r="D19" s="118">
        <f t="shared" si="3"/>
        <v>750</v>
      </c>
      <c r="E19">
        <f t="shared" si="0"/>
        <v>7.7832394022035203</v>
      </c>
      <c r="F19">
        <f t="shared" si="1"/>
        <v>7.8242941084081599</v>
      </c>
      <c r="G19">
        <f t="shared" ref="G19:G24" si="4">G18</f>
        <v>7.7833181406411853</v>
      </c>
    </row>
    <row r="20" spans="4:7" x14ac:dyDescent="0.25">
      <c r="D20" s="118">
        <f>D19+50</f>
        <v>800</v>
      </c>
      <c r="E20">
        <f t="shared" si="0"/>
        <v>7.783392595999004</v>
      </c>
      <c r="F20">
        <f t="shared" si="1"/>
        <v>8.3442051768457777</v>
      </c>
      <c r="G20">
        <f t="shared" si="4"/>
        <v>7.7833181406411853</v>
      </c>
    </row>
    <row r="21" spans="4:7" x14ac:dyDescent="0.25">
      <c r="D21" s="118">
        <f t="shared" si="3"/>
        <v>850</v>
      </c>
      <c r="E21">
        <f t="shared" si="0"/>
        <v>7.783585406358501</v>
      </c>
      <c r="F21">
        <f t="shared" si="1"/>
        <v>8.1576200672936281</v>
      </c>
      <c r="G21">
        <f t="shared" si="4"/>
        <v>7.7833181406411853</v>
      </c>
    </row>
    <row r="22" spans="4:7" x14ac:dyDescent="0.25">
      <c r="D22" s="118">
        <f t="shared" si="3"/>
        <v>900</v>
      </c>
      <c r="E22">
        <f t="shared" si="0"/>
        <v>7.7836914975411737</v>
      </c>
      <c r="F22">
        <f t="shared" si="1"/>
        <v>7.9837310692239081</v>
      </c>
      <c r="G22">
        <f t="shared" si="4"/>
        <v>7.7833181406411853</v>
      </c>
    </row>
    <row r="23" spans="4:7" x14ac:dyDescent="0.25">
      <c r="D23" s="118">
        <f t="shared" si="3"/>
        <v>950</v>
      </c>
      <c r="E23">
        <f t="shared" si="0"/>
        <v>7.7837255685083129</v>
      </c>
      <c r="F23">
        <f t="shared" si="1"/>
        <v>7.8211370416026051</v>
      </c>
      <c r="G23">
        <f t="shared" si="4"/>
        <v>7.7833181406411853</v>
      </c>
    </row>
    <row r="24" spans="4:7" x14ac:dyDescent="0.25">
      <c r="D24" s="118">
        <f t="shared" si="3"/>
        <v>1000</v>
      </c>
      <c r="E24">
        <f t="shared" si="0"/>
        <v>7.7836997251620037</v>
      </c>
      <c r="F24">
        <f t="shared" si="1"/>
        <v>8.306276793677128</v>
      </c>
      <c r="G24">
        <f t="shared" si="4"/>
        <v>7.7833181406411853</v>
      </c>
    </row>
    <row r="25" spans="4:7" x14ac:dyDescent="0.25">
      <c r="D25" s="118">
        <v>2000</v>
      </c>
      <c r="F25">
        <f t="shared" si="1"/>
        <v>7.7942431731234638</v>
      </c>
    </row>
    <row r="26" spans="4:7" x14ac:dyDescent="0.25">
      <c r="D26" s="118">
        <v>3000</v>
      </c>
      <c r="F26">
        <f t="shared" si="1"/>
        <v>7.8237139230817636</v>
      </c>
    </row>
    <row r="27" spans="4:7" x14ac:dyDescent="0.25">
      <c r="D27" s="118">
        <v>4000</v>
      </c>
      <c r="F27">
        <f t="shared" si="1"/>
        <v>7.9920572648579853</v>
      </c>
    </row>
  </sheetData>
  <pageMargins left="0.7" right="0.7" top="0.75" bottom="0.75" header="0.3" footer="0.3"/>
  <customProperties>
    <customPr name="EpmWorksheetKeyString_GU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/>
  <dimension ref="A1:U28"/>
  <sheetViews>
    <sheetView showGridLines="0" zoomScale="80" zoomScaleNormal="80" workbookViewId="0">
      <selection activeCell="N3" sqref="N3"/>
    </sheetView>
  </sheetViews>
  <sheetFormatPr defaultRowHeight="15" x14ac:dyDescent="0.25"/>
  <cols>
    <col min="3" max="3" width="5.42578125" customWidth="1"/>
    <col min="4" max="4" width="4" style="95" customWidth="1"/>
    <col min="5" max="6" width="9.85546875" customWidth="1"/>
    <col min="17" max="17" width="5" customWidth="1"/>
    <col min="18" max="22" width="7.7109375" customWidth="1"/>
  </cols>
  <sheetData>
    <row r="1" spans="1:21" x14ac:dyDescent="0.25">
      <c r="A1" s="126" t="s">
        <v>0</v>
      </c>
      <c r="B1" s="87">
        <v>100</v>
      </c>
      <c r="E1" s="104" t="s">
        <v>57</v>
      </c>
      <c r="F1" s="105"/>
      <c r="G1" s="106">
        <f>BarrierOption("cdo",B1,B2,B3,0,B4,B5,B6,B5)</f>
        <v>6.307574932471919</v>
      </c>
      <c r="I1" t="s">
        <v>81</v>
      </c>
      <c r="Q1" s="123" t="s">
        <v>38</v>
      </c>
      <c r="R1" s="124">
        <f>1/(1+B5*B9)</f>
        <v>0.99800399201596801</v>
      </c>
    </row>
    <row r="2" spans="1:21" x14ac:dyDescent="0.25">
      <c r="A2" s="127" t="s">
        <v>1</v>
      </c>
      <c r="B2" s="88">
        <v>100</v>
      </c>
    </row>
    <row r="3" spans="1:21" x14ac:dyDescent="0.25">
      <c r="A3" s="127" t="s">
        <v>6</v>
      </c>
      <c r="B3" s="88">
        <v>85</v>
      </c>
      <c r="E3" s="94" t="s">
        <v>35</v>
      </c>
      <c r="F3" s="94">
        <f>0</f>
        <v>0</v>
      </c>
      <c r="G3" s="94">
        <f>F3+1</f>
        <v>1</v>
      </c>
      <c r="H3" s="94">
        <f t="shared" ref="H3:O3" si="0">G3+1</f>
        <v>2</v>
      </c>
      <c r="I3" s="94">
        <f t="shared" si="0"/>
        <v>3</v>
      </c>
      <c r="J3" s="94">
        <f t="shared" si="0"/>
        <v>4</v>
      </c>
      <c r="K3" s="94">
        <f t="shared" si="0"/>
        <v>5</v>
      </c>
      <c r="L3" s="94">
        <f t="shared" si="0"/>
        <v>6</v>
      </c>
      <c r="M3" s="94">
        <f>L3+1</f>
        <v>7</v>
      </c>
      <c r="N3" s="94">
        <f t="shared" si="0"/>
        <v>8</v>
      </c>
      <c r="O3" s="94">
        <f t="shared" si="0"/>
        <v>9</v>
      </c>
      <c r="P3" s="94">
        <f>O3+1</f>
        <v>10</v>
      </c>
      <c r="Q3" s="2"/>
    </row>
    <row r="4" spans="1:21" x14ac:dyDescent="0.25">
      <c r="A4" s="127" t="s">
        <v>2</v>
      </c>
      <c r="B4" s="88">
        <v>0.2</v>
      </c>
      <c r="D4" s="96" t="s">
        <v>34</v>
      </c>
      <c r="E4" s="125" t="s">
        <v>37</v>
      </c>
      <c r="F4" s="92">
        <f>F3*$B$9</f>
        <v>0</v>
      </c>
      <c r="G4" s="92">
        <f t="shared" ref="G4:P4" si="1">G3*$B$9</f>
        <v>0.02</v>
      </c>
      <c r="H4" s="92">
        <f t="shared" si="1"/>
        <v>0.04</v>
      </c>
      <c r="I4" s="92">
        <f t="shared" si="1"/>
        <v>0.06</v>
      </c>
      <c r="J4" s="92">
        <f t="shared" si="1"/>
        <v>0.08</v>
      </c>
      <c r="K4" s="92">
        <f t="shared" si="1"/>
        <v>0.1</v>
      </c>
      <c r="L4" s="92">
        <f t="shared" si="1"/>
        <v>0.12</v>
      </c>
      <c r="M4" s="92">
        <f t="shared" si="1"/>
        <v>0.14000000000000001</v>
      </c>
      <c r="N4" s="92">
        <f t="shared" si="1"/>
        <v>0.16</v>
      </c>
      <c r="O4" s="92">
        <f t="shared" si="1"/>
        <v>0.18</v>
      </c>
      <c r="P4" s="92">
        <f t="shared" si="1"/>
        <v>0.2</v>
      </c>
      <c r="Q4" s="2"/>
      <c r="R4" s="94" t="s">
        <v>39</v>
      </c>
      <c r="S4" s="94" t="s">
        <v>40</v>
      </c>
      <c r="T4" s="94" t="s">
        <v>41</v>
      </c>
      <c r="U4" s="94" t="s">
        <v>42</v>
      </c>
    </row>
    <row r="5" spans="1:21" x14ac:dyDescent="0.25">
      <c r="A5" s="127" t="s">
        <v>3</v>
      </c>
      <c r="B5" s="88">
        <v>0.1</v>
      </c>
      <c r="D5" s="96">
        <f>B11</f>
        <v>40</v>
      </c>
      <c r="E5" s="125">
        <f>D5*$B$12</f>
        <v>200</v>
      </c>
      <c r="F5" s="121">
        <f>$E$5-$B$2*EXP(-$B$5*($B$4-F4))</f>
        <v>101.98013266932448</v>
      </c>
      <c r="G5" s="121">
        <f t="shared" ref="G5:O5" si="2">$E$5-$B$2*EXP(-$B$5*($B$4-G4))</f>
        <v>101.78389676416992</v>
      </c>
      <c r="H5" s="121">
        <f t="shared" si="2"/>
        <v>101.58726799447149</v>
      </c>
      <c r="I5" s="121">
        <f t="shared" si="2"/>
        <v>101.39024557371381</v>
      </c>
      <c r="J5" s="121">
        <f t="shared" si="2"/>
        <v>101.19282871380695</v>
      </c>
      <c r="K5" s="121">
        <f t="shared" si="2"/>
        <v>100.9950166250832</v>
      </c>
      <c r="L5" s="121">
        <f t="shared" si="2"/>
        <v>100.79680851629394</v>
      </c>
      <c r="M5" s="121">
        <f t="shared" si="2"/>
        <v>100.59820359460647</v>
      </c>
      <c r="N5" s="121">
        <f t="shared" si="2"/>
        <v>100.39920106560085</v>
      </c>
      <c r="O5" s="121">
        <f t="shared" si="2"/>
        <v>100.19980013326669</v>
      </c>
      <c r="P5" s="122">
        <f>maks(E5-$B$2,0)</f>
        <v>100</v>
      </c>
      <c r="Q5" s="2"/>
      <c r="R5" s="1">
        <f>$R$1*(-0.5*$B$5*D5*$B$9+0.5*$B$6^2*D5^2*$B$9)</f>
        <v>1.3972055888223551</v>
      </c>
      <c r="S5" s="1">
        <f>$R$1*(1-$B$6^2*D5^2*$B$9)</f>
        <v>-1.8762475049900198</v>
      </c>
      <c r="T5" s="1">
        <f>$R$1*(0.5*$B$5*D5*$B$9+0.5*$B$6^2*D5^2*$B$9)</f>
        <v>1.4770459081836327</v>
      </c>
      <c r="U5">
        <f>(R5+S5+T5)/$R$1</f>
        <v>1</v>
      </c>
    </row>
    <row r="6" spans="1:21" x14ac:dyDescent="0.25">
      <c r="A6" s="127" t="s">
        <v>19</v>
      </c>
      <c r="B6" s="88">
        <v>0.3</v>
      </c>
      <c r="D6" s="96">
        <f>D5-1</f>
        <v>39</v>
      </c>
      <c r="E6" s="125">
        <f t="shared" ref="E6:E28" si="3">D6*$B$12</f>
        <v>195</v>
      </c>
      <c r="F6" s="1">
        <f t="shared" ref="F6:N21" si="4">G7*$R6+$S6*G6+$T6*G5</f>
        <v>98.045496892242554</v>
      </c>
      <c r="G6" s="1">
        <f t="shared" si="4"/>
        <v>96.482084756954308</v>
      </c>
      <c r="H6" s="1">
        <f t="shared" si="4"/>
        <v>96.672978608827535</v>
      </c>
      <c r="I6" s="1">
        <f t="shared" si="4"/>
        <v>96.364797868285393</v>
      </c>
      <c r="J6" s="1">
        <f t="shared" si="4"/>
        <v>96.19986348997702</v>
      </c>
      <c r="K6" s="1">
        <f t="shared" si="4"/>
        <v>95.99238770427776</v>
      </c>
      <c r="L6" s="1">
        <f t="shared" si="4"/>
        <v>95.79722197748147</v>
      </c>
      <c r="M6" s="1">
        <f t="shared" si="4"/>
        <v>95.597681266790048</v>
      </c>
      <c r="N6" s="1">
        <f t="shared" si="4"/>
        <v>95.399083275406795</v>
      </c>
      <c r="O6" s="1">
        <f>P7*$R6+$S6*P6+$T6*P5</f>
        <v>95.199600798403139</v>
      </c>
      <c r="P6" s="122">
        <f t="shared" ref="P6:P28" si="5">maks(E6-$B$2,0)</f>
        <v>95</v>
      </c>
      <c r="Q6" s="2"/>
      <c r="R6" s="1">
        <f t="shared" ref="R6:R27" si="6">$R$1*(-0.5*$B$5*D6*$B$9+0.5*$B$6^2*D6^2*$B$9)</f>
        <v>1.3272455089820356</v>
      </c>
      <c r="S6" s="1">
        <f t="shared" ref="S6:S27" si="7">$R$1*(1-$B$6^2*D6^2*$B$9)</f>
        <v>-1.7343313373253488</v>
      </c>
      <c r="T6" s="1">
        <f t="shared" ref="T6:T27" si="8">$R$1*(0.5*$B$5*D6*$B$9+0.5*$B$6^2*D6^2*$B$9)</f>
        <v>1.405089820359281</v>
      </c>
      <c r="U6">
        <f t="shared" ref="U6:U27" si="9">(R6+S6+T6)/$R$1</f>
        <v>0.99999999999999978</v>
      </c>
    </row>
    <row r="7" spans="1:21" x14ac:dyDescent="0.25">
      <c r="A7" s="127"/>
      <c r="B7" s="88"/>
      <c r="D7" s="96">
        <f t="shared" ref="D7:D17" si="10">D6-1</f>
        <v>38</v>
      </c>
      <c r="E7" s="125">
        <f t="shared" si="3"/>
        <v>190</v>
      </c>
      <c r="F7" s="1">
        <f t="shared" si="4"/>
        <v>90.507022225104606</v>
      </c>
      <c r="G7" s="1">
        <f t="shared" si="4"/>
        <v>92.192350193538928</v>
      </c>
      <c r="H7" s="1">
        <f t="shared" si="4"/>
        <v>91.472017853577185</v>
      </c>
      <c r="I7" s="1">
        <f t="shared" si="4"/>
        <v>91.421718594119781</v>
      </c>
      <c r="J7" s="1">
        <f t="shared" si="4"/>
        <v>91.182996233352341</v>
      </c>
      <c r="K7" s="1">
        <f t="shared" si="4"/>
        <v>90.99703035039947</v>
      </c>
      <c r="L7" s="1">
        <f t="shared" si="4"/>
        <v>90.795517047946021</v>
      </c>
      <c r="M7" s="1">
        <f t="shared" si="4"/>
        <v>90.597981867822966</v>
      </c>
      <c r="N7" s="1">
        <f t="shared" si="4"/>
        <v>90.398803192019074</v>
      </c>
      <c r="O7" s="1">
        <f t="shared" ref="O7:O26" si="11">P8*$R7+$S7*P7+$T7*P6</f>
        <v>90.199600798403196</v>
      </c>
      <c r="P7" s="122">
        <f t="shared" si="5"/>
        <v>90</v>
      </c>
      <c r="Q7" s="2"/>
      <c r="R7" s="1">
        <f t="shared" si="6"/>
        <v>1.2590818363273453</v>
      </c>
      <c r="S7" s="1">
        <f t="shared" si="7"/>
        <v>-1.5960079840319361</v>
      </c>
      <c r="T7" s="1">
        <f t="shared" si="8"/>
        <v>1.3349301397205589</v>
      </c>
      <c r="U7">
        <f t="shared" si="9"/>
        <v>1</v>
      </c>
    </row>
    <row r="8" spans="1:21" x14ac:dyDescent="0.25">
      <c r="A8" s="127" t="s">
        <v>18</v>
      </c>
      <c r="B8" s="88">
        <v>10</v>
      </c>
      <c r="D8" s="96">
        <f t="shared" si="10"/>
        <v>37</v>
      </c>
      <c r="E8" s="125">
        <f t="shared" si="3"/>
        <v>185</v>
      </c>
      <c r="F8" s="1">
        <f t="shared" si="4"/>
        <v>88.206782973904808</v>
      </c>
      <c r="G8" s="1">
        <f t="shared" si="4"/>
        <v>86.451812086366672</v>
      </c>
      <c r="H8" s="1">
        <f t="shared" si="4"/>
        <v>86.674864979548943</v>
      </c>
      <c r="I8" s="1">
        <f t="shared" si="4"/>
        <v>86.365742419453184</v>
      </c>
      <c r="J8" s="1">
        <f t="shared" si="4"/>
        <v>86.198059768145086</v>
      </c>
      <c r="K8" s="1">
        <f t="shared" si="4"/>
        <v>85.9927040020101</v>
      </c>
      <c r="L8" s="1">
        <f t="shared" si="4"/>
        <v>85.796489503088409</v>
      </c>
      <c r="M8" s="1">
        <f t="shared" si="4"/>
        <v>85.597607976066925</v>
      </c>
      <c r="N8" s="1">
        <f t="shared" si="4"/>
        <v>85.398803192019159</v>
      </c>
      <c r="O8" s="1">
        <f t="shared" si="11"/>
        <v>85.199600798403196</v>
      </c>
      <c r="P8" s="122">
        <f t="shared" si="5"/>
        <v>85</v>
      </c>
      <c r="Q8" s="2"/>
      <c r="R8" s="1">
        <f t="shared" si="6"/>
        <v>1.1927145708582834</v>
      </c>
      <c r="S8" s="1">
        <f t="shared" si="7"/>
        <v>-1.4612774451097803</v>
      </c>
      <c r="T8" s="1">
        <f t="shared" si="8"/>
        <v>1.266566866267465</v>
      </c>
      <c r="U8">
        <f t="shared" si="9"/>
        <v>1</v>
      </c>
    </row>
    <row r="9" spans="1:21" x14ac:dyDescent="0.25">
      <c r="A9" s="127" t="s">
        <v>22</v>
      </c>
      <c r="B9" s="88">
        <f>B4/B8</f>
        <v>0.02</v>
      </c>
      <c r="D9" s="96">
        <f t="shared" si="10"/>
        <v>36</v>
      </c>
      <c r="E9" s="125">
        <f t="shared" si="3"/>
        <v>180</v>
      </c>
      <c r="F9" s="1">
        <f t="shared" si="4"/>
        <v>81.23947453230744</v>
      </c>
      <c r="G9" s="1">
        <f t="shared" si="4"/>
        <v>81.971908765869344</v>
      </c>
      <c r="H9" s="1">
        <f t="shared" si="4"/>
        <v>81.538712371868598</v>
      </c>
      <c r="I9" s="1">
        <f t="shared" si="4"/>
        <v>81.400411423541115</v>
      </c>
      <c r="J9" s="1">
        <f t="shared" si="4"/>
        <v>81.189300056114689</v>
      </c>
      <c r="K9" s="1">
        <f t="shared" si="4"/>
        <v>80.994596159093476</v>
      </c>
      <c r="L9" s="1">
        <f t="shared" si="4"/>
        <v>80.796015944178635</v>
      </c>
      <c r="M9" s="1">
        <f t="shared" si="4"/>
        <v>80.597607976066996</v>
      </c>
      <c r="N9" s="1">
        <f t="shared" si="4"/>
        <v>80.398803192019173</v>
      </c>
      <c r="O9" s="1">
        <f t="shared" si="11"/>
        <v>80.199600798403196</v>
      </c>
      <c r="P9" s="122">
        <f t="shared" si="5"/>
        <v>80</v>
      </c>
      <c r="Q9" s="2"/>
      <c r="R9" s="1">
        <f t="shared" si="6"/>
        <v>1.1281437125748504</v>
      </c>
      <c r="S9" s="1">
        <f t="shared" si="7"/>
        <v>-1.3301397205588823</v>
      </c>
      <c r="T9" s="1">
        <f t="shared" si="8"/>
        <v>1.2000000000000002</v>
      </c>
      <c r="U9">
        <f t="shared" si="9"/>
        <v>1.0000000000000002</v>
      </c>
    </row>
    <row r="10" spans="1:21" x14ac:dyDescent="0.25">
      <c r="A10" s="127" t="s">
        <v>33</v>
      </c>
      <c r="B10" s="88">
        <f>2*B1</f>
        <v>200</v>
      </c>
      <c r="D10" s="96">
        <f t="shared" si="10"/>
        <v>35</v>
      </c>
      <c r="E10" s="125">
        <f t="shared" si="3"/>
        <v>175</v>
      </c>
      <c r="F10" s="1">
        <f t="shared" si="4"/>
        <v>77.315811408145649</v>
      </c>
      <c r="G10" s="1">
        <f t="shared" si="4"/>
        <v>76.702454557568487</v>
      </c>
      <c r="H10" s="1">
        <f t="shared" si="4"/>
        <v>76.603671957906826</v>
      </c>
      <c r="I10" s="1">
        <f t="shared" si="4"/>
        <v>76.385429455730204</v>
      </c>
      <c r="J10" s="1">
        <f t="shared" si="4"/>
        <v>76.192289716879145</v>
      </c>
      <c r="K10" s="1">
        <f t="shared" si="4"/>
        <v>75.994027888402115</v>
      </c>
      <c r="L10" s="1">
        <f t="shared" si="4"/>
        <v>75.796015944178535</v>
      </c>
      <c r="M10" s="1">
        <f t="shared" si="4"/>
        <v>75.597607976067067</v>
      </c>
      <c r="N10" s="1">
        <f t="shared" si="4"/>
        <v>75.398803192019145</v>
      </c>
      <c r="O10" s="1">
        <f t="shared" si="11"/>
        <v>75.199600798403196</v>
      </c>
      <c r="P10" s="122">
        <f t="shared" si="5"/>
        <v>75</v>
      </c>
      <c r="Q10" s="2"/>
      <c r="R10" s="1">
        <f t="shared" si="6"/>
        <v>1.065369261477046</v>
      </c>
      <c r="S10" s="1">
        <f t="shared" si="7"/>
        <v>-1.2025948103792414</v>
      </c>
      <c r="T10" s="1">
        <f t="shared" si="8"/>
        <v>1.1352295409181636</v>
      </c>
      <c r="U10">
        <f t="shared" si="9"/>
        <v>1.0000000000000002</v>
      </c>
    </row>
    <row r="11" spans="1:21" x14ac:dyDescent="0.25">
      <c r="A11" s="127" t="s">
        <v>32</v>
      </c>
      <c r="B11" s="88">
        <v>40</v>
      </c>
      <c r="D11" s="96">
        <f t="shared" si="10"/>
        <v>34</v>
      </c>
      <c r="E11" s="125">
        <f t="shared" si="3"/>
        <v>170</v>
      </c>
      <c r="F11" s="1">
        <f t="shared" si="4"/>
        <v>71.860861929068491</v>
      </c>
      <c r="G11" s="1">
        <f t="shared" si="4"/>
        <v>71.80688950974762</v>
      </c>
      <c r="H11" s="1">
        <f t="shared" si="4"/>
        <v>71.581263562492552</v>
      </c>
      <c r="I11" s="1">
        <f t="shared" si="4"/>
        <v>71.389558596439826</v>
      </c>
      <c r="J11" s="1">
        <f t="shared" si="4"/>
        <v>71.191644599204281</v>
      </c>
      <c r="K11" s="1">
        <f t="shared" si="4"/>
        <v>70.994027888401519</v>
      </c>
      <c r="L11" s="1">
        <f t="shared" si="4"/>
        <v>70.796015944178777</v>
      </c>
      <c r="M11" s="1">
        <f t="shared" si="4"/>
        <v>70.597607976066968</v>
      </c>
      <c r="N11" s="1">
        <f t="shared" si="4"/>
        <v>70.398803192019159</v>
      </c>
      <c r="O11" s="1">
        <f t="shared" si="11"/>
        <v>70.199600798403182</v>
      </c>
      <c r="P11" s="122">
        <f t="shared" si="5"/>
        <v>70</v>
      </c>
      <c r="Q11" s="2"/>
      <c r="R11" s="1">
        <f t="shared" si="6"/>
        <v>1.0043912175648702</v>
      </c>
      <c r="S11" s="1">
        <f t="shared" si="7"/>
        <v>-1.0786427145708581</v>
      </c>
      <c r="T11" s="1">
        <f t="shared" si="8"/>
        <v>1.072255489021956</v>
      </c>
      <c r="U11">
        <f t="shared" si="9"/>
        <v>1</v>
      </c>
    </row>
    <row r="12" spans="1:21" x14ac:dyDescent="0.25">
      <c r="A12" s="128" t="s">
        <v>36</v>
      </c>
      <c r="B12" s="89">
        <f>B10/B11</f>
        <v>5</v>
      </c>
      <c r="D12" s="96">
        <f t="shared" si="10"/>
        <v>33</v>
      </c>
      <c r="E12" s="125">
        <f t="shared" si="3"/>
        <v>165</v>
      </c>
      <c r="F12" s="1">
        <f t="shared" si="4"/>
        <v>67.008772904406499</v>
      </c>
      <c r="G12" s="1">
        <f t="shared" si="4"/>
        <v>66.776979986496698</v>
      </c>
      <c r="H12" s="1">
        <f t="shared" si="4"/>
        <v>66.58639486837636</v>
      </c>
      <c r="I12" s="1">
        <f t="shared" si="4"/>
        <v>66.388866865474142</v>
      </c>
      <c r="J12" s="1">
        <f t="shared" si="4"/>
        <v>66.191644599202846</v>
      </c>
      <c r="K12" s="1">
        <f t="shared" si="4"/>
        <v>65.994027888402044</v>
      </c>
      <c r="L12" s="1">
        <f t="shared" si="4"/>
        <v>65.796015944178578</v>
      </c>
      <c r="M12" s="1">
        <f t="shared" si="4"/>
        <v>65.597607976067025</v>
      </c>
      <c r="N12" s="1">
        <f t="shared" si="4"/>
        <v>65.39880319201913</v>
      </c>
      <c r="O12" s="1">
        <f t="shared" si="11"/>
        <v>65.199600798403196</v>
      </c>
      <c r="P12" s="122">
        <f t="shared" si="5"/>
        <v>65</v>
      </c>
      <c r="Q12" s="2"/>
      <c r="R12" s="1">
        <f t="shared" si="6"/>
        <v>0.94520958083832329</v>
      </c>
      <c r="S12" s="1">
        <f t="shared" si="7"/>
        <v>-0.95828343313373243</v>
      </c>
      <c r="T12" s="1">
        <f t="shared" si="8"/>
        <v>1.011077844311377</v>
      </c>
      <c r="U12">
        <f t="shared" si="9"/>
        <v>0.99999999999999989</v>
      </c>
    </row>
    <row r="13" spans="1:21" x14ac:dyDescent="0.25">
      <c r="D13" s="96">
        <f t="shared" si="10"/>
        <v>32</v>
      </c>
      <c r="E13" s="125">
        <f t="shared" si="3"/>
        <v>160</v>
      </c>
      <c r="F13" s="1">
        <f t="shared" si="4"/>
        <v>61.972712335708195</v>
      </c>
      <c r="G13" s="1">
        <f t="shared" si="4"/>
        <v>61.782796822853058</v>
      </c>
      <c r="H13" s="1">
        <f t="shared" si="4"/>
        <v>61.585695474525906</v>
      </c>
      <c r="I13" s="1">
        <f t="shared" si="4"/>
        <v>61.38886686547167</v>
      </c>
      <c r="J13" s="1">
        <f t="shared" si="4"/>
        <v>61.191644599203698</v>
      </c>
      <c r="K13" s="1">
        <f t="shared" si="4"/>
        <v>60.994027888401774</v>
      </c>
      <c r="L13" s="1">
        <f t="shared" si="4"/>
        <v>60.79601594417867</v>
      </c>
      <c r="M13" s="1">
        <f t="shared" si="4"/>
        <v>60.597607976067003</v>
      </c>
      <c r="N13" s="1">
        <f t="shared" si="4"/>
        <v>60.398803192019152</v>
      </c>
      <c r="O13" s="1">
        <f t="shared" si="11"/>
        <v>60.199600798403189</v>
      </c>
      <c r="P13" s="122">
        <f t="shared" si="5"/>
        <v>60</v>
      </c>
      <c r="Q13" s="2"/>
      <c r="R13" s="1">
        <f t="shared" si="6"/>
        <v>0.88782435129740511</v>
      </c>
      <c r="S13" s="1">
        <f t="shared" si="7"/>
        <v>-0.84151696606786419</v>
      </c>
      <c r="T13" s="1">
        <f t="shared" si="8"/>
        <v>0.95169660678642709</v>
      </c>
      <c r="U13">
        <f t="shared" si="9"/>
        <v>1</v>
      </c>
    </row>
    <row r="14" spans="1:21" x14ac:dyDescent="0.25">
      <c r="D14" s="96">
        <f t="shared" si="10"/>
        <v>31</v>
      </c>
      <c r="E14" s="125">
        <f t="shared" si="3"/>
        <v>155</v>
      </c>
      <c r="F14" s="1">
        <f t="shared" si="4"/>
        <v>56.978769992785388</v>
      </c>
      <c r="G14" s="1">
        <f t="shared" si="4"/>
        <v>56.782131212102136</v>
      </c>
      <c r="H14" s="1">
        <f t="shared" si="4"/>
        <v>56.585695474522602</v>
      </c>
      <c r="I14" s="1">
        <f t="shared" si="4"/>
        <v>56.388866865472714</v>
      </c>
      <c r="J14" s="1">
        <f t="shared" si="4"/>
        <v>56.1916445992034</v>
      </c>
      <c r="K14" s="1">
        <f t="shared" si="4"/>
        <v>55.994027888401853</v>
      </c>
      <c r="L14" s="1">
        <f t="shared" si="4"/>
        <v>55.796015944178663</v>
      </c>
      <c r="M14" s="1">
        <f t="shared" si="4"/>
        <v>55.59760797606701</v>
      </c>
      <c r="N14" s="1">
        <f t="shared" si="4"/>
        <v>55.398803192019159</v>
      </c>
      <c r="O14" s="1">
        <f t="shared" si="11"/>
        <v>55.199600798403189</v>
      </c>
      <c r="P14" s="122">
        <f t="shared" si="5"/>
        <v>55</v>
      </c>
      <c r="Q14" s="2"/>
      <c r="R14" s="1">
        <f t="shared" si="6"/>
        <v>0.83223552894211572</v>
      </c>
      <c r="S14" s="1">
        <f t="shared" si="7"/>
        <v>-0.72834331337325342</v>
      </c>
      <c r="T14" s="1">
        <f t="shared" si="8"/>
        <v>0.89411177644710582</v>
      </c>
      <c r="U14">
        <f t="shared" si="9"/>
        <v>1.0000000000000002</v>
      </c>
    </row>
    <row r="15" spans="1:21" x14ac:dyDescent="0.25">
      <c r="D15" s="96">
        <f t="shared" si="10"/>
        <v>30</v>
      </c>
      <c r="E15" s="125">
        <f t="shared" si="3"/>
        <v>150</v>
      </c>
      <c r="F15" s="1">
        <f t="shared" si="4"/>
        <v>51.978174862377223</v>
      </c>
      <c r="G15" s="1">
        <f t="shared" si="4"/>
        <v>51.782131212098619</v>
      </c>
      <c r="H15" s="1">
        <f t="shared" si="4"/>
        <v>51.585695474523533</v>
      </c>
      <c r="I15" s="1">
        <f t="shared" si="4"/>
        <v>51.388866865472551</v>
      </c>
      <c r="J15" s="1">
        <f t="shared" si="4"/>
        <v>51.191644599203393</v>
      </c>
      <c r="K15" s="1">
        <f t="shared" si="4"/>
        <v>50.994027888401888</v>
      </c>
      <c r="L15" s="1">
        <f t="shared" si="4"/>
        <v>50.796015944178635</v>
      </c>
      <c r="M15" s="1">
        <f t="shared" si="4"/>
        <v>50.597607976067032</v>
      </c>
      <c r="N15" s="1">
        <f t="shared" si="4"/>
        <v>50.398803192019152</v>
      </c>
      <c r="O15" s="1">
        <f t="shared" si="11"/>
        <v>50.199600798403196</v>
      </c>
      <c r="P15" s="122">
        <f t="shared" si="5"/>
        <v>50</v>
      </c>
      <c r="Q15" s="2"/>
      <c r="R15" s="1">
        <f t="shared" si="6"/>
        <v>0.77844311377245512</v>
      </c>
      <c r="S15" s="1">
        <f t="shared" si="7"/>
        <v>-0.61876247504990023</v>
      </c>
      <c r="T15" s="1">
        <f t="shared" si="8"/>
        <v>0.83832335329341323</v>
      </c>
      <c r="U15">
        <f t="shared" si="9"/>
        <v>1.0000000000000002</v>
      </c>
    </row>
    <row r="16" spans="1:21" x14ac:dyDescent="0.25">
      <c r="D16" s="96">
        <f t="shared" si="10"/>
        <v>29</v>
      </c>
      <c r="E16" s="125">
        <f t="shared" si="3"/>
        <v>145</v>
      </c>
      <c r="F16" s="1">
        <f t="shared" si="4"/>
        <v>46.983812040043887</v>
      </c>
      <c r="G16" s="1">
        <f t="shared" si="4"/>
        <v>46.782131212099145</v>
      </c>
      <c r="H16" s="1">
        <f t="shared" si="4"/>
        <v>46.585695474523604</v>
      </c>
      <c r="I16" s="1">
        <f t="shared" si="4"/>
        <v>46.388866865472401</v>
      </c>
      <c r="J16" s="1">
        <f t="shared" si="4"/>
        <v>46.191644599203514</v>
      </c>
      <c r="K16" s="1">
        <f t="shared" si="4"/>
        <v>45.994027888401817</v>
      </c>
      <c r="L16" s="1">
        <f t="shared" si="4"/>
        <v>45.796015944178677</v>
      </c>
      <c r="M16" s="1">
        <f t="shared" si="4"/>
        <v>45.59760797606701</v>
      </c>
      <c r="N16" s="1">
        <f t="shared" si="4"/>
        <v>45.398803192019159</v>
      </c>
      <c r="O16" s="1">
        <f t="shared" si="11"/>
        <v>45.199600798403189</v>
      </c>
      <c r="P16" s="122">
        <f t="shared" si="5"/>
        <v>45</v>
      </c>
      <c r="Q16" s="2"/>
      <c r="R16" s="1">
        <f t="shared" si="6"/>
        <v>0.72644710578842309</v>
      </c>
      <c r="S16" s="1">
        <f t="shared" si="7"/>
        <v>-0.5127744510978044</v>
      </c>
      <c r="T16" s="1">
        <f t="shared" si="8"/>
        <v>0.78433133732534932</v>
      </c>
      <c r="U16">
        <f t="shared" si="9"/>
        <v>1</v>
      </c>
    </row>
    <row r="17" spans="4:21" x14ac:dyDescent="0.25">
      <c r="D17" s="96">
        <f t="shared" si="10"/>
        <v>28</v>
      </c>
      <c r="E17" s="125">
        <f t="shared" si="3"/>
        <v>140</v>
      </c>
      <c r="F17" s="1">
        <f t="shared" si="4"/>
        <v>41.982223655458057</v>
      </c>
      <c r="G17" s="1">
        <f t="shared" si="4"/>
        <v>41.789891140695445</v>
      </c>
      <c r="H17" s="1">
        <f t="shared" si="4"/>
        <v>41.585695474523327</v>
      </c>
      <c r="I17" s="1">
        <f t="shared" si="4"/>
        <v>41.388866865472586</v>
      </c>
      <c r="J17" s="1">
        <f t="shared" si="4"/>
        <v>41.191644599203414</v>
      </c>
      <c r="K17" s="1">
        <f t="shared" si="4"/>
        <v>40.994027888401881</v>
      </c>
      <c r="L17" s="1">
        <f t="shared" si="4"/>
        <v>40.796015944178649</v>
      </c>
      <c r="M17" s="1">
        <f t="shared" si="4"/>
        <v>40.597607976067025</v>
      </c>
      <c r="N17" s="1">
        <f t="shared" si="4"/>
        <v>40.398803192019152</v>
      </c>
      <c r="O17" s="1">
        <f t="shared" si="11"/>
        <v>40.199600798403196</v>
      </c>
      <c r="P17" s="122">
        <f t="shared" si="5"/>
        <v>40</v>
      </c>
      <c r="Q17" s="2"/>
      <c r="R17" s="1">
        <f t="shared" si="6"/>
        <v>0.67624750499001995</v>
      </c>
      <c r="S17" s="1">
        <f t="shared" si="7"/>
        <v>-0.41037924151696603</v>
      </c>
      <c r="T17" s="1">
        <f t="shared" si="8"/>
        <v>0.7321357285429142</v>
      </c>
      <c r="U17">
        <f t="shared" si="9"/>
        <v>1.0000000000000002</v>
      </c>
    </row>
    <row r="18" spans="4:21" x14ac:dyDescent="0.25">
      <c r="D18" s="96">
        <f t="shared" ref="D18:D26" si="12">D17-1</f>
        <v>27</v>
      </c>
      <c r="E18" s="125">
        <f t="shared" si="3"/>
        <v>135</v>
      </c>
      <c r="F18" s="1">
        <f t="shared" si="4"/>
        <v>37.017538607783379</v>
      </c>
      <c r="G18" s="1">
        <f t="shared" si="4"/>
        <v>36.792827453699829</v>
      </c>
      <c r="H18" s="1">
        <f t="shared" si="4"/>
        <v>36.59717045748274</v>
      </c>
      <c r="I18" s="1">
        <f t="shared" si="4"/>
        <v>36.388866865472465</v>
      </c>
      <c r="J18" s="1">
        <f t="shared" si="4"/>
        <v>36.191644599203471</v>
      </c>
      <c r="K18" s="1">
        <f t="shared" si="4"/>
        <v>35.994027888401853</v>
      </c>
      <c r="L18" s="1">
        <f t="shared" si="4"/>
        <v>35.796015944178663</v>
      </c>
      <c r="M18" s="1">
        <f t="shared" si="4"/>
        <v>35.597607976067017</v>
      </c>
      <c r="N18" s="1">
        <f t="shared" si="4"/>
        <v>35.398803192019152</v>
      </c>
      <c r="O18" s="1">
        <f t="shared" si="11"/>
        <v>35.199600798403196</v>
      </c>
      <c r="P18" s="122">
        <f t="shared" si="5"/>
        <v>35</v>
      </c>
      <c r="Q18" s="2"/>
      <c r="R18" s="1">
        <f t="shared" si="6"/>
        <v>0.6278443113772455</v>
      </c>
      <c r="S18" s="1">
        <f t="shared" si="7"/>
        <v>-0.31157684630738525</v>
      </c>
      <c r="T18" s="1">
        <f t="shared" si="8"/>
        <v>0.68173652694610776</v>
      </c>
      <c r="U18">
        <f t="shared" si="9"/>
        <v>1</v>
      </c>
    </row>
    <row r="19" spans="4:21" x14ac:dyDescent="0.25">
      <c r="D19" s="96">
        <f t="shared" si="12"/>
        <v>26</v>
      </c>
      <c r="E19" s="125">
        <f t="shared" si="3"/>
        <v>130</v>
      </c>
      <c r="F19" s="1">
        <f t="shared" si="4"/>
        <v>32.043912429214956</v>
      </c>
      <c r="G19" s="1">
        <f t="shared" si="4"/>
        <v>31.841710026760413</v>
      </c>
      <c r="H19" s="1">
        <f t="shared" si="4"/>
        <v>31.608426556646727</v>
      </c>
      <c r="I19" s="1">
        <f t="shared" si="4"/>
        <v>31.407143662365108</v>
      </c>
      <c r="J19" s="1">
        <f t="shared" si="4"/>
        <v>31.191644599203446</v>
      </c>
      <c r="K19" s="1">
        <f t="shared" si="4"/>
        <v>30.99402788840186</v>
      </c>
      <c r="L19" s="1">
        <f t="shared" si="4"/>
        <v>30.796015944178663</v>
      </c>
      <c r="M19" s="1">
        <f t="shared" si="4"/>
        <v>30.597607976067021</v>
      </c>
      <c r="N19" s="1">
        <f t="shared" si="4"/>
        <v>30.398803192019155</v>
      </c>
      <c r="O19" s="1">
        <f t="shared" si="11"/>
        <v>30.199600798403193</v>
      </c>
      <c r="P19" s="122">
        <f t="shared" si="5"/>
        <v>30</v>
      </c>
      <c r="Q19" s="2"/>
      <c r="R19" s="1">
        <f t="shared" si="6"/>
        <v>0.58123752495009973</v>
      </c>
      <c r="S19" s="1">
        <f t="shared" si="7"/>
        <v>-0.21636726546906174</v>
      </c>
      <c r="T19" s="1">
        <f t="shared" si="8"/>
        <v>0.6331337325349301</v>
      </c>
      <c r="U19">
        <f t="shared" si="9"/>
        <v>1.0000000000000002</v>
      </c>
    </row>
    <row r="20" spans="4:21" x14ac:dyDescent="0.25">
      <c r="D20" s="96">
        <f t="shared" si="12"/>
        <v>25</v>
      </c>
      <c r="E20" s="125">
        <f t="shared" si="3"/>
        <v>125</v>
      </c>
      <c r="F20" s="1">
        <f t="shared" si="4"/>
        <v>27.169389164302402</v>
      </c>
      <c r="G20" s="1">
        <f t="shared" si="4"/>
        <v>26.905757642939335</v>
      </c>
      <c r="H20" s="1">
        <f t="shared" si="4"/>
        <v>26.684161033770422</v>
      </c>
      <c r="I20" s="1">
        <f t="shared" si="4"/>
        <v>26.434778530743543</v>
      </c>
      <c r="J20" s="1">
        <f t="shared" si="4"/>
        <v>26.223089225725381</v>
      </c>
      <c r="K20" s="1">
        <f t="shared" si="4"/>
        <v>25.994027888401853</v>
      </c>
      <c r="L20" s="1">
        <f t="shared" si="4"/>
        <v>25.796015944178659</v>
      </c>
      <c r="M20" s="1">
        <f t="shared" si="4"/>
        <v>25.597607976067017</v>
      </c>
      <c r="N20" s="1">
        <f t="shared" si="4"/>
        <v>25.398803192019152</v>
      </c>
      <c r="O20" s="1">
        <f t="shared" si="11"/>
        <v>25.199600798403189</v>
      </c>
      <c r="P20" s="122">
        <f t="shared" si="5"/>
        <v>25</v>
      </c>
      <c r="Q20" s="2"/>
      <c r="R20" s="1">
        <f t="shared" si="6"/>
        <v>0.53642714570858274</v>
      </c>
      <c r="S20" s="1">
        <f t="shared" si="7"/>
        <v>-0.124750499001996</v>
      </c>
      <c r="T20" s="1">
        <f t="shared" si="8"/>
        <v>0.58632734530938124</v>
      </c>
      <c r="U20">
        <f t="shared" si="9"/>
        <v>1</v>
      </c>
    </row>
    <row r="21" spans="4:21" x14ac:dyDescent="0.25">
      <c r="D21" s="96">
        <f t="shared" si="12"/>
        <v>24</v>
      </c>
      <c r="E21" s="125">
        <f t="shared" si="3"/>
        <v>120</v>
      </c>
      <c r="F21" s="1">
        <f t="shared" si="4"/>
        <v>22.361104077618215</v>
      </c>
      <c r="G21" s="1">
        <f t="shared" si="4"/>
        <v>22.102219548421733</v>
      </c>
      <c r="H21" s="1">
        <f t="shared" si="4"/>
        <v>21.814211507751747</v>
      </c>
      <c r="I21" s="1">
        <f t="shared" si="4"/>
        <v>21.563125154495637</v>
      </c>
      <c r="J21" s="1">
        <f t="shared" si="4"/>
        <v>21.284545188816143</v>
      </c>
      <c r="K21" s="1">
        <f t="shared" si="4"/>
        <v>21.052646522401808</v>
      </c>
      <c r="L21" s="1">
        <f t="shared" si="4"/>
        <v>20.796015944178659</v>
      </c>
      <c r="M21" s="1">
        <f t="shared" si="4"/>
        <v>20.597607976067017</v>
      </c>
      <c r="N21" s="1">
        <f t="shared" si="4"/>
        <v>20.398803192019152</v>
      </c>
      <c r="O21" s="1">
        <f t="shared" si="11"/>
        <v>20.199600798403193</v>
      </c>
      <c r="P21" s="122">
        <f t="shared" si="5"/>
        <v>20</v>
      </c>
      <c r="Q21" s="2"/>
      <c r="R21" s="1">
        <f t="shared" si="6"/>
        <v>0.49341317365269455</v>
      </c>
      <c r="S21" s="1">
        <f t="shared" si="7"/>
        <v>-3.6726546906187568E-2</v>
      </c>
      <c r="T21" s="1">
        <f t="shared" si="8"/>
        <v>0.54131736526946106</v>
      </c>
      <c r="U21">
        <f t="shared" si="9"/>
        <v>1</v>
      </c>
    </row>
    <row r="22" spans="4:21" x14ac:dyDescent="0.25">
      <c r="D22" s="96">
        <f t="shared" si="12"/>
        <v>23</v>
      </c>
      <c r="E22" s="125">
        <f t="shared" si="3"/>
        <v>115</v>
      </c>
      <c r="F22" s="1">
        <f t="shared" ref="F22:N26" si="13">G23*$R22+$S22*G22+$T22*G21</f>
        <v>17.769890018777012</v>
      </c>
      <c r="G22" s="1">
        <f t="shared" si="13"/>
        <v>17.446409829338748</v>
      </c>
      <c r="H22" s="1">
        <f t="shared" si="13"/>
        <v>17.143402156728889</v>
      </c>
      <c r="I22" s="1">
        <f t="shared" si="13"/>
        <v>16.81460166136204</v>
      </c>
      <c r="J22" s="1">
        <f t="shared" si="13"/>
        <v>16.517231132118958</v>
      </c>
      <c r="K22" s="1">
        <f t="shared" si="13"/>
        <v>16.186672622469658</v>
      </c>
      <c r="L22" s="1">
        <f t="shared" si="13"/>
        <v>15.914818272795067</v>
      </c>
      <c r="M22" s="1">
        <f t="shared" si="13"/>
        <v>15.597607976067017</v>
      </c>
      <c r="N22" s="1">
        <f t="shared" si="13"/>
        <v>15.398803192019153</v>
      </c>
      <c r="O22" s="1">
        <f t="shared" si="11"/>
        <v>15.199600798403193</v>
      </c>
      <c r="P22" s="122">
        <f t="shared" si="5"/>
        <v>15</v>
      </c>
      <c r="Q22" s="2"/>
      <c r="R22" s="1">
        <f t="shared" si="6"/>
        <v>0.45219560878243509</v>
      </c>
      <c r="S22" s="1">
        <f t="shared" si="7"/>
        <v>4.7704590818363223E-2</v>
      </c>
      <c r="T22" s="1">
        <f t="shared" si="8"/>
        <v>0.49810379241516967</v>
      </c>
      <c r="U22">
        <f t="shared" si="9"/>
        <v>1</v>
      </c>
    </row>
    <row r="23" spans="4:21" x14ac:dyDescent="0.25">
      <c r="D23" s="96">
        <f t="shared" si="12"/>
        <v>22</v>
      </c>
      <c r="E23" s="125">
        <f t="shared" si="3"/>
        <v>110</v>
      </c>
      <c r="F23" s="1">
        <f t="shared" si="13"/>
        <v>13.454818585971392</v>
      </c>
      <c r="G23" s="1">
        <f t="shared" si="13"/>
        <v>13.110292722036831</v>
      </c>
      <c r="H23" s="1">
        <f t="shared" si="13"/>
        <v>12.744151539145635</v>
      </c>
      <c r="I23" s="1">
        <f t="shared" si="13"/>
        <v>12.385334886383738</v>
      </c>
      <c r="J23" s="1">
        <f t="shared" si="13"/>
        <v>11.996448273739443</v>
      </c>
      <c r="K23" s="1">
        <f t="shared" si="13"/>
        <v>11.629147569407202</v>
      </c>
      <c r="L23" s="1">
        <f t="shared" si="13"/>
        <v>11.209503633933844</v>
      </c>
      <c r="M23" s="1">
        <f t="shared" si="13"/>
        <v>10.860331289405442</v>
      </c>
      <c r="N23" s="1">
        <f t="shared" si="13"/>
        <v>10.398803192019155</v>
      </c>
      <c r="O23" s="1">
        <f t="shared" si="11"/>
        <v>10.199600798403193</v>
      </c>
      <c r="P23" s="122">
        <f t="shared" si="5"/>
        <v>10</v>
      </c>
      <c r="Q23" s="2"/>
      <c r="R23" s="1">
        <f t="shared" si="6"/>
        <v>0.41277445109780436</v>
      </c>
      <c r="S23" s="1">
        <f t="shared" si="7"/>
        <v>0.1285429141716567</v>
      </c>
      <c r="T23" s="1">
        <f t="shared" si="8"/>
        <v>0.45668662674650695</v>
      </c>
      <c r="U23">
        <f t="shared" si="9"/>
        <v>1</v>
      </c>
    </row>
    <row r="24" spans="4:21" x14ac:dyDescent="0.25">
      <c r="D24" s="96">
        <f t="shared" si="12"/>
        <v>21</v>
      </c>
      <c r="E24" s="125">
        <f t="shared" si="3"/>
        <v>105</v>
      </c>
      <c r="F24" s="1">
        <f t="shared" si="13"/>
        <v>9.5870009303372665</v>
      </c>
      <c r="G24" s="1">
        <f t="shared" si="13"/>
        <v>9.210941447387766</v>
      </c>
      <c r="H24" s="1">
        <f t="shared" si="13"/>
        <v>8.825545847001468</v>
      </c>
      <c r="I24" s="1">
        <f t="shared" si="13"/>
        <v>8.4140401078782201</v>
      </c>
      <c r="J24" s="1">
        <f t="shared" si="13"/>
        <v>7.9948695658637092</v>
      </c>
      <c r="K24" s="1">
        <f t="shared" si="13"/>
        <v>7.5328471259795906</v>
      </c>
      <c r="L24" s="1">
        <f t="shared" si="13"/>
        <v>7.0744703937725237</v>
      </c>
      <c r="M24" s="1">
        <f t="shared" si="13"/>
        <v>6.517520699414951</v>
      </c>
      <c r="N24" s="1">
        <f t="shared" si="13"/>
        <v>6.0352847199811945</v>
      </c>
      <c r="O24" s="1">
        <f t="shared" si="11"/>
        <v>5.1996007984031936</v>
      </c>
      <c r="P24" s="122">
        <f t="shared" si="5"/>
        <v>5</v>
      </c>
      <c r="Q24" s="2"/>
      <c r="R24" s="1">
        <f t="shared" si="6"/>
        <v>0.37514970059880232</v>
      </c>
      <c r="S24" s="1">
        <f t="shared" si="7"/>
        <v>0.20578842315369264</v>
      </c>
      <c r="T24" s="1">
        <f t="shared" si="8"/>
        <v>0.41706586826347303</v>
      </c>
      <c r="U24">
        <f t="shared" si="9"/>
        <v>1</v>
      </c>
    </row>
    <row r="25" spans="4:21" x14ac:dyDescent="0.25">
      <c r="D25" s="96">
        <f t="shared" si="12"/>
        <v>20</v>
      </c>
      <c r="E25" s="125">
        <f t="shared" si="3"/>
        <v>100</v>
      </c>
      <c r="F25" s="91">
        <f t="shared" si="13"/>
        <v>6.2887149164907452</v>
      </c>
      <c r="G25" s="1">
        <f t="shared" si="13"/>
        <v>5.9273409875163399</v>
      </c>
      <c r="H25" s="1">
        <f t="shared" si="13"/>
        <v>5.543375494604625</v>
      </c>
      <c r="I25" s="1">
        <f t="shared" si="13"/>
        <v>5.140703430250646</v>
      </c>
      <c r="J25" s="1">
        <f t="shared" si="13"/>
        <v>4.7060663740813151</v>
      </c>
      <c r="K25" s="1">
        <f t="shared" si="13"/>
        <v>4.2505066729533807</v>
      </c>
      <c r="L25" s="1">
        <f t="shared" si="13"/>
        <v>3.7369126268015491</v>
      </c>
      <c r="M25" s="1">
        <f t="shared" si="13"/>
        <v>3.2087632894338172</v>
      </c>
      <c r="N25" s="1">
        <f t="shared" si="13"/>
        <v>2.5017828614228628</v>
      </c>
      <c r="O25" s="1">
        <f t="shared" si="11"/>
        <v>1.8962075848303392</v>
      </c>
      <c r="P25" s="122">
        <f t="shared" si="5"/>
        <v>0</v>
      </c>
      <c r="Q25" s="2"/>
      <c r="R25" s="1">
        <f t="shared" si="6"/>
        <v>0.33932135728542911</v>
      </c>
      <c r="S25" s="1">
        <f t="shared" si="7"/>
        <v>0.27944111776447106</v>
      </c>
      <c r="T25" s="1">
        <f t="shared" si="8"/>
        <v>0.37924151696606784</v>
      </c>
      <c r="U25">
        <f t="shared" si="9"/>
        <v>1</v>
      </c>
    </row>
    <row r="26" spans="4:21" x14ac:dyDescent="0.25">
      <c r="D26" s="96">
        <f t="shared" si="12"/>
        <v>19</v>
      </c>
      <c r="E26" s="125">
        <f t="shared" si="3"/>
        <v>95</v>
      </c>
      <c r="F26" s="1">
        <f t="shared" si="13"/>
        <v>3.6576813255213136</v>
      </c>
      <c r="G26" s="1">
        <f t="shared" si="13"/>
        <v>3.3572915288582381</v>
      </c>
      <c r="H26" s="1">
        <f t="shared" si="13"/>
        <v>3.0392444386515307</v>
      </c>
      <c r="I26" s="1">
        <f t="shared" si="13"/>
        <v>2.6992060121468544</v>
      </c>
      <c r="J26" s="1">
        <f t="shared" si="13"/>
        <v>2.3389288745299104</v>
      </c>
      <c r="K26" s="1">
        <f t="shared" si="13"/>
        <v>1.9495727368537867</v>
      </c>
      <c r="L26" s="1">
        <f t="shared" si="13"/>
        <v>1.5422747092979261</v>
      </c>
      <c r="M26" s="1">
        <f t="shared" si="13"/>
        <v>1.0861025448117714</v>
      </c>
      <c r="N26" s="1">
        <f t="shared" si="13"/>
        <v>0.65080418006302765</v>
      </c>
      <c r="O26">
        <f t="shared" si="11"/>
        <v>0</v>
      </c>
      <c r="P26" s="122">
        <f t="shared" si="5"/>
        <v>0</v>
      </c>
      <c r="Q26" s="2"/>
      <c r="R26" s="1">
        <f t="shared" si="6"/>
        <v>0.30528942115768459</v>
      </c>
      <c r="S26" s="1">
        <f t="shared" si="7"/>
        <v>0.34950099800399198</v>
      </c>
      <c r="T26" s="1">
        <f t="shared" si="8"/>
        <v>0.34321357285429144</v>
      </c>
      <c r="U26">
        <f t="shared" si="9"/>
        <v>1</v>
      </c>
    </row>
    <row r="27" spans="4:21" x14ac:dyDescent="0.25">
      <c r="D27" s="96">
        <f t="shared" ref="D27:D28" si="14">D26-1</f>
        <v>18</v>
      </c>
      <c r="E27" s="125">
        <f t="shared" si="3"/>
        <v>90</v>
      </c>
      <c r="F27" s="1">
        <f t="shared" ref="F27:N27" si="15">G28*$R27+$S27*G27+$T27*G26</f>
        <v>1.6504307841728652</v>
      </c>
      <c r="G27" s="1">
        <f t="shared" si="15"/>
        <v>1.4738824098049434</v>
      </c>
      <c r="H27" s="1">
        <f t="shared" si="15"/>
        <v>1.2857008071450087</v>
      </c>
      <c r="I27" s="1">
        <f t="shared" si="15"/>
        <v>1.0858877816665848</v>
      </c>
      <c r="J27" s="1">
        <f t="shared" si="15"/>
        <v>0.87314581975877581</v>
      </c>
      <c r="K27" s="1">
        <f t="shared" si="15"/>
        <v>0.65092224584539593</v>
      </c>
      <c r="L27" s="1">
        <f t="shared" si="15"/>
        <v>0.41923186261624001</v>
      </c>
      <c r="M27" s="1">
        <f t="shared" si="15"/>
        <v>0.20108680054642053</v>
      </c>
      <c r="N27">
        <f t="shared" si="15"/>
        <v>0</v>
      </c>
      <c r="O27">
        <f>P28*$R27+$S27*P27+$T27*P26</f>
        <v>0</v>
      </c>
      <c r="P27" s="122">
        <f t="shared" si="5"/>
        <v>0</v>
      </c>
      <c r="Q27" s="2"/>
      <c r="R27" s="1">
        <f t="shared" si="6"/>
        <v>0.27305389221556886</v>
      </c>
      <c r="S27" s="1">
        <f t="shared" si="7"/>
        <v>0.41596806387225543</v>
      </c>
      <c r="T27" s="1">
        <f t="shared" si="8"/>
        <v>0.30898203592814372</v>
      </c>
      <c r="U27">
        <f t="shared" si="9"/>
        <v>1</v>
      </c>
    </row>
    <row r="28" spans="4:21" x14ac:dyDescent="0.25">
      <c r="D28" s="96">
        <f t="shared" si="14"/>
        <v>17</v>
      </c>
      <c r="E28" s="125">
        <f t="shared" si="3"/>
        <v>85</v>
      </c>
      <c r="F28" s="122">
        <f>0</f>
        <v>0</v>
      </c>
      <c r="G28" s="122">
        <f>0</f>
        <v>0</v>
      </c>
      <c r="H28" s="122">
        <f>0</f>
        <v>0</v>
      </c>
      <c r="I28" s="122">
        <f>0</f>
        <v>0</v>
      </c>
      <c r="J28" s="122">
        <f>0</f>
        <v>0</v>
      </c>
      <c r="K28" s="122">
        <f>0</f>
        <v>0</v>
      </c>
      <c r="L28" s="122">
        <f>0</f>
        <v>0</v>
      </c>
      <c r="M28" s="122">
        <f>0</f>
        <v>0</v>
      </c>
      <c r="N28" s="122">
        <f>0</f>
        <v>0</v>
      </c>
      <c r="O28" s="122">
        <f>0</f>
        <v>0</v>
      </c>
      <c r="P28" s="122">
        <f t="shared" si="5"/>
        <v>0</v>
      </c>
      <c r="Q28" s="2"/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0"/>
  <dimension ref="A1:OJ593"/>
  <sheetViews>
    <sheetView showGridLines="0" zoomScale="85" zoomScaleNormal="85" workbookViewId="0">
      <selection activeCell="F24" sqref="F24"/>
    </sheetView>
  </sheetViews>
  <sheetFormatPr defaultRowHeight="15" x14ac:dyDescent="0.25"/>
  <cols>
    <col min="1" max="1" width="13.5703125" customWidth="1"/>
    <col min="2" max="2" width="11.5703125" customWidth="1"/>
    <col min="4" max="4" width="5.5703125" customWidth="1"/>
    <col min="5" max="5" width="9.42578125" customWidth="1"/>
    <col min="6" max="6" width="9.85546875" customWidth="1"/>
  </cols>
  <sheetData>
    <row r="1" spans="1:400" x14ac:dyDescent="0.25">
      <c r="A1" s="87" t="s">
        <v>0</v>
      </c>
      <c r="B1" s="4">
        <v>100</v>
      </c>
      <c r="D1" s="2"/>
      <c r="E1" s="135" t="s">
        <v>10</v>
      </c>
      <c r="F1" s="129" t="s">
        <v>54</v>
      </c>
      <c r="G1" s="130">
        <v>7.7833181406411853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 t="s">
        <v>38</v>
      </c>
      <c r="X1" s="2">
        <v>0.99734042553191493</v>
      </c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31"/>
      <c r="AW1" s="13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</row>
    <row r="2" spans="1:400" x14ac:dyDescent="0.25">
      <c r="A2" s="88" t="s">
        <v>1</v>
      </c>
      <c r="B2" s="5">
        <v>90</v>
      </c>
      <c r="D2" s="2"/>
      <c r="E2" s="2" t="s">
        <v>35</v>
      </c>
      <c r="F2" s="2">
        <v>0</v>
      </c>
      <c r="G2" s="2">
        <v>1</v>
      </c>
      <c r="H2" s="2">
        <v>2</v>
      </c>
      <c r="I2" s="2">
        <v>3</v>
      </c>
      <c r="J2" s="2">
        <v>4</v>
      </c>
      <c r="K2" s="2">
        <v>5</v>
      </c>
      <c r="L2" s="2">
        <v>6</v>
      </c>
      <c r="M2" s="2">
        <v>7</v>
      </c>
      <c r="N2" s="2">
        <v>8</v>
      </c>
      <c r="O2" s="2">
        <v>9</v>
      </c>
      <c r="P2" s="2">
        <v>10</v>
      </c>
      <c r="Q2" s="2">
        <v>11</v>
      </c>
      <c r="R2" s="2">
        <v>12</v>
      </c>
      <c r="S2" s="2">
        <v>13</v>
      </c>
      <c r="T2" s="2">
        <v>14</v>
      </c>
      <c r="U2" s="2">
        <v>15</v>
      </c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</row>
    <row r="3" spans="1:400" x14ac:dyDescent="0.25">
      <c r="A3" s="88" t="s">
        <v>6</v>
      </c>
      <c r="B3" s="5">
        <v>95</v>
      </c>
      <c r="D3" s="2" t="s">
        <v>34</v>
      </c>
      <c r="E3" s="2"/>
      <c r="F3" s="2">
        <v>0</v>
      </c>
      <c r="G3" s="2">
        <v>3.3333333333333333E-2</v>
      </c>
      <c r="H3" s="2">
        <v>6.6666666666666666E-2</v>
      </c>
      <c r="I3" s="2">
        <v>0.1</v>
      </c>
      <c r="J3" s="2">
        <v>0.13333333333333333</v>
      </c>
      <c r="K3" s="2">
        <v>0.16666666666666666</v>
      </c>
      <c r="L3" s="2">
        <v>0.2</v>
      </c>
      <c r="M3" s="2">
        <v>0.23333333333333334</v>
      </c>
      <c r="N3" s="2">
        <v>0.26666666666666666</v>
      </c>
      <c r="O3" s="2">
        <v>0.3</v>
      </c>
      <c r="P3" s="2">
        <v>0.33333333333333331</v>
      </c>
      <c r="Q3" s="2">
        <v>0.36666666666666664</v>
      </c>
      <c r="R3" s="2">
        <v>0.4</v>
      </c>
      <c r="S3" s="2">
        <v>0.43333333333333335</v>
      </c>
      <c r="T3" s="2">
        <v>0.46666666666666667</v>
      </c>
      <c r="U3" s="2">
        <v>0.5</v>
      </c>
      <c r="V3" s="2"/>
      <c r="W3" s="2" t="s">
        <v>39</v>
      </c>
      <c r="X3" s="2" t="s">
        <v>40</v>
      </c>
      <c r="Y3" s="2" t="s">
        <v>41</v>
      </c>
      <c r="Z3" s="2" t="s">
        <v>50</v>
      </c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34"/>
      <c r="AW3" s="134"/>
      <c r="AX3" s="134"/>
      <c r="AY3" s="134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</row>
    <row r="4" spans="1:400" x14ac:dyDescent="0.25">
      <c r="A4" s="88" t="s">
        <v>2</v>
      </c>
      <c r="B4" s="5">
        <v>0.5</v>
      </c>
      <c r="D4" s="2">
        <v>21</v>
      </c>
      <c r="E4" s="2">
        <v>200</v>
      </c>
      <c r="F4" s="3">
        <v>113.52895047629092</v>
      </c>
      <c r="G4" s="3">
        <v>113.29805328480032</v>
      </c>
      <c r="H4" s="3">
        <v>113.06653954576771</v>
      </c>
      <c r="I4" s="3">
        <v>112.83440761287221</v>
      </c>
      <c r="J4" s="3">
        <v>112.60165583539687</v>
      </c>
      <c r="K4" s="3">
        <v>112.36828255821695</v>
      </c>
      <c r="L4" s="3">
        <v>112.13428612178816</v>
      </c>
      <c r="M4" s="3">
        <v>111.89966486213487</v>
      </c>
      <c r="N4" s="3">
        <v>111.66441711083822</v>
      </c>
      <c r="O4" s="3">
        <v>111.42854119502434</v>
      </c>
      <c r="P4" s="3">
        <v>111.19203543735239</v>
      </c>
      <c r="Q4" s="3">
        <v>110.95489815600264</v>
      </c>
      <c r="R4" s="3">
        <v>110.71712766466455</v>
      </c>
      <c r="S4" s="3">
        <v>110.47872227252471</v>
      </c>
      <c r="T4" s="3">
        <v>110.23968028425492</v>
      </c>
      <c r="U4" s="3">
        <v>110</v>
      </c>
      <c r="V4" s="2"/>
      <c r="W4" s="2">
        <v>-1.6133333333333333</v>
      </c>
      <c r="X4" s="2">
        <v>4.3359999999999994</v>
      </c>
      <c r="Y4" s="2">
        <v>-1.72</v>
      </c>
      <c r="Z4" s="2">
        <v>0.99999999999999956</v>
      </c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33"/>
      <c r="AW4" s="133"/>
      <c r="AX4" s="133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</row>
    <row r="5" spans="1:400" x14ac:dyDescent="0.25">
      <c r="A5" s="88" t="s">
        <v>3</v>
      </c>
      <c r="B5" s="5">
        <v>0.08</v>
      </c>
      <c r="D5" s="2">
        <v>20</v>
      </c>
      <c r="E5" s="2">
        <v>195</v>
      </c>
      <c r="F5" s="2">
        <v>108.52768180711094</v>
      </c>
      <c r="G5" s="2">
        <v>108.29692660624471</v>
      </c>
      <c r="H5" s="2">
        <v>108.06552917701154</v>
      </c>
      <c r="I5" s="2">
        <v>107.83349254188521</v>
      </c>
      <c r="J5" s="2">
        <v>107.60081957112317</v>
      </c>
      <c r="K5" s="2">
        <v>107.36751286725831</v>
      </c>
      <c r="L5" s="2">
        <v>107.13357466920115</v>
      </c>
      <c r="M5" s="2">
        <v>106.89900679114778</v>
      </c>
      <c r="N5" s="2">
        <v>106.66381061316009</v>
      </c>
      <c r="O5" s="2">
        <v>106.42798714306852</v>
      </c>
      <c r="P5" s="2">
        <v>106.19153717810507</v>
      </c>
      <c r="Q5" s="2">
        <v>105.95446162383868</v>
      </c>
      <c r="R5" s="2">
        <v>105.71676212256435</v>
      </c>
      <c r="S5" s="2">
        <v>105.47844245984416</v>
      </c>
      <c r="T5" s="2">
        <v>105.23951236917129</v>
      </c>
      <c r="U5" s="3">
        <v>105</v>
      </c>
      <c r="V5" s="2"/>
      <c r="W5" s="2">
        <v>-1.5323749999999998</v>
      </c>
      <c r="X5" s="2">
        <v>4.1714166666666666</v>
      </c>
      <c r="Y5" s="2">
        <v>-1.6363749999999999</v>
      </c>
      <c r="Z5" s="2">
        <v>1</v>
      </c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133"/>
      <c r="AW5" s="133"/>
      <c r="AX5" s="133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</row>
    <row r="6" spans="1:400" x14ac:dyDescent="0.25">
      <c r="A6" s="88" t="s">
        <v>19</v>
      </c>
      <c r="B6" s="5">
        <v>0.25</v>
      </c>
      <c r="D6" s="2">
        <v>19</v>
      </c>
      <c r="E6" s="2">
        <v>190</v>
      </c>
      <c r="F6" s="2">
        <v>103.52643298343689</v>
      </c>
      <c r="G6" s="2">
        <v>103.29584695204458</v>
      </c>
      <c r="H6" s="2">
        <v>103.06458817851248</v>
      </c>
      <c r="I6" s="2">
        <v>102.83266477556649</v>
      </c>
      <c r="J6" s="2">
        <v>102.60008462097734</v>
      </c>
      <c r="K6" s="2">
        <v>102.36685510571871</v>
      </c>
      <c r="L6" s="2">
        <v>102.13298291279526</v>
      </c>
      <c r="M6" s="2">
        <v>101.8984738570983</v>
      </c>
      <c r="N6" s="2">
        <v>101.66333281937941</v>
      </c>
      <c r="O6" s="2">
        <v>101.42756380929521</v>
      </c>
      <c r="P6" s="2">
        <v>101.19117019728478</v>
      </c>
      <c r="Q6" s="2">
        <v>100.9541551727098</v>
      </c>
      <c r="R6" s="2">
        <v>100.71652253657925</v>
      </c>
      <c r="S6" s="2">
        <v>100.47827804758037</v>
      </c>
      <c r="T6" s="2">
        <v>100.23943164270254</v>
      </c>
      <c r="U6" s="3">
        <v>100</v>
      </c>
      <c r="V6" s="2"/>
      <c r="W6" s="2">
        <v>-1.4535</v>
      </c>
      <c r="X6" s="2">
        <v>4.0110000000000001</v>
      </c>
      <c r="Y6" s="2">
        <v>-1.5548333333333333</v>
      </c>
      <c r="Z6" s="2">
        <v>1.0000000000000002</v>
      </c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133"/>
      <c r="AW6" s="133"/>
      <c r="AX6" s="133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</row>
    <row r="7" spans="1:400" x14ac:dyDescent="0.25">
      <c r="A7" s="88" t="s">
        <v>55</v>
      </c>
      <c r="B7" s="116" t="s">
        <v>46</v>
      </c>
      <c r="D7" s="2">
        <v>18</v>
      </c>
      <c r="E7" s="2">
        <v>185</v>
      </c>
      <c r="F7" s="2">
        <v>98.525090114503669</v>
      </c>
      <c r="G7" s="2">
        <v>98.294724844303772</v>
      </c>
      <c r="H7" s="2">
        <v>98.063647375110861</v>
      </c>
      <c r="I7" s="2">
        <v>97.831871441310852</v>
      </c>
      <c r="J7" s="2">
        <v>97.599410626662106</v>
      </c>
      <c r="K7" s="2">
        <v>97.366277945052431</v>
      </c>
      <c r="L7" s="2">
        <v>97.132485442926637</v>
      </c>
      <c r="M7" s="2">
        <v>96.898043868138231</v>
      </c>
      <c r="N7" s="2">
        <v>96.662962454448234</v>
      </c>
      <c r="O7" s="2">
        <v>96.427248869751594</v>
      </c>
      <c r="P7" s="2">
        <v>96.190909367853976</v>
      </c>
      <c r="Q7" s="2">
        <v>95.953949166169892</v>
      </c>
      <c r="R7" s="2">
        <v>95.716373035022485</v>
      </c>
      <c r="S7" s="2">
        <v>95.478185979700498</v>
      </c>
      <c r="T7" s="2">
        <v>95.239393535291867</v>
      </c>
      <c r="U7" s="3">
        <v>95</v>
      </c>
      <c r="V7" s="2"/>
      <c r="W7" s="2">
        <v>-1.3767083333333332</v>
      </c>
      <c r="X7" s="2">
        <v>3.8547499999999997</v>
      </c>
      <c r="Y7" s="2">
        <v>-1.4753749999999999</v>
      </c>
      <c r="Z7" s="2">
        <v>1</v>
      </c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133"/>
      <c r="AW7" s="133"/>
      <c r="AX7" s="133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</row>
    <row r="8" spans="1:400" x14ac:dyDescent="0.25">
      <c r="A8" s="88" t="s">
        <v>47</v>
      </c>
      <c r="B8" s="116" t="s">
        <v>51</v>
      </c>
      <c r="D8" s="2">
        <v>17</v>
      </c>
      <c r="E8" s="2">
        <v>180</v>
      </c>
      <c r="F8" s="2">
        <v>93.523480677926969</v>
      </c>
      <c r="G8" s="2">
        <v>93.293423096102146</v>
      </c>
      <c r="H8" s="2">
        <v>93.062599674846297</v>
      </c>
      <c r="I8" s="2">
        <v>92.831030309116159</v>
      </c>
      <c r="J8" s="2">
        <v>92.598735137846091</v>
      </c>
      <c r="K8" s="2">
        <v>92.365733928753585</v>
      </c>
      <c r="L8" s="2">
        <v>92.13204544270539</v>
      </c>
      <c r="M8" s="2">
        <v>91.897686834665691</v>
      </c>
      <c r="N8" s="2">
        <v>91.662673158662869</v>
      </c>
      <c r="O8" s="2">
        <v>91.427017045015859</v>
      </c>
      <c r="P8" s="2">
        <v>91.190728602460823</v>
      </c>
      <c r="Q8" s="2">
        <v>90.953815556672595</v>
      </c>
      <c r="R8" s="2">
        <v>90.716283555325901</v>
      </c>
      <c r="S8" s="2">
        <v>90.478136421180736</v>
      </c>
      <c r="T8" s="2">
        <v>90.239375881103413</v>
      </c>
      <c r="U8" s="3">
        <v>90</v>
      </c>
      <c r="V8" s="2"/>
      <c r="W8" s="2">
        <v>-1.3019999999999998</v>
      </c>
      <c r="X8" s="2">
        <v>3.7026666666666666</v>
      </c>
      <c r="Y8" s="2">
        <v>-1.3979999999999999</v>
      </c>
      <c r="Z8" s="2">
        <v>1.0000000000000004</v>
      </c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133"/>
      <c r="AW8" s="133"/>
      <c r="AX8" s="133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</row>
    <row r="9" spans="1:400" x14ac:dyDescent="0.25">
      <c r="A9" s="88" t="s">
        <v>18</v>
      </c>
      <c r="B9" s="5">
        <v>15</v>
      </c>
      <c r="D9" s="2">
        <v>16</v>
      </c>
      <c r="E9" s="2">
        <v>175</v>
      </c>
      <c r="F9" s="2">
        <v>88.521332857623619</v>
      </c>
      <c r="G9" s="2">
        <v>88.291722665118698</v>
      </c>
      <c r="H9" s="2">
        <v>88.06127218884518</v>
      </c>
      <c r="I9" s="2">
        <v>87.83000779192686</v>
      </c>
      <c r="J9" s="2">
        <v>87.597956978165087</v>
      </c>
      <c r="K9" s="2">
        <v>87.365147580882919</v>
      </c>
      <c r="L9" s="2">
        <v>87.131606842278558</v>
      </c>
      <c r="M9" s="2">
        <v>86.897360445598082</v>
      </c>
      <c r="N9" s="2">
        <v>86.662431586642001</v>
      </c>
      <c r="O9" s="2">
        <v>86.426840186614299</v>
      </c>
      <c r="P9" s="2">
        <v>86.190602344428427</v>
      </c>
      <c r="Q9" s="2">
        <v>85.953730090789819</v>
      </c>
      <c r="R9" s="2">
        <v>85.716231428605639</v>
      </c>
      <c r="S9" s="2">
        <v>85.478110528495009</v>
      </c>
      <c r="T9" s="2">
        <v>85.239367844414375</v>
      </c>
      <c r="U9" s="3">
        <v>85</v>
      </c>
      <c r="V9" s="2"/>
      <c r="W9" s="2">
        <v>-1.2293749999999999</v>
      </c>
      <c r="X9" s="2">
        <v>3.5547499999999999</v>
      </c>
      <c r="Y9" s="2">
        <v>-1.3227083333333332</v>
      </c>
      <c r="Z9" s="2">
        <v>1.0000000000000004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133"/>
      <c r="AW9" s="133"/>
      <c r="AX9" s="133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</row>
    <row r="10" spans="1:400" x14ac:dyDescent="0.25">
      <c r="A10" s="88" t="s">
        <v>22</v>
      </c>
      <c r="B10" s="5">
        <v>3.3333333333333333E-2</v>
      </c>
      <c r="D10" s="2">
        <v>15</v>
      </c>
      <c r="E10" s="2">
        <v>170</v>
      </c>
      <c r="F10" s="2">
        <v>83.518208891091717</v>
      </c>
      <c r="G10" s="2">
        <v>83.289265505300449</v>
      </c>
      <c r="H10" s="2">
        <v>83.059378472628282</v>
      </c>
      <c r="I10" s="2">
        <v>82.828580244758271</v>
      </c>
      <c r="J10" s="2">
        <v>82.596906041113755</v>
      </c>
      <c r="K10" s="2">
        <v>82.364392914166345</v>
      </c>
      <c r="L10" s="2">
        <v>82.131078558519434</v>
      </c>
      <c r="M10" s="2">
        <v>81.896999912214341</v>
      </c>
      <c r="N10" s="2">
        <v>81.662191644883237</v>
      </c>
      <c r="O10" s="2">
        <v>81.426684674478949</v>
      </c>
      <c r="P10" s="2">
        <v>81.190504888950755</v>
      </c>
      <c r="Q10" s="2">
        <v>80.953672253263363</v>
      </c>
      <c r="R10" s="2">
        <v>80.716200438988665</v>
      </c>
      <c r="S10" s="2">
        <v>80.478097023273861</v>
      </c>
      <c r="T10" s="2">
        <v>80.239364207176408</v>
      </c>
      <c r="U10" s="3">
        <v>80</v>
      </c>
      <c r="V10" s="2"/>
      <c r="W10" s="2">
        <v>-1.1588333333333332</v>
      </c>
      <c r="X10" s="2">
        <v>3.411</v>
      </c>
      <c r="Y10" s="2">
        <v>-1.2494999999999998</v>
      </c>
      <c r="Z10" s="2">
        <v>1.0000000000000002</v>
      </c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133"/>
      <c r="AW10" s="133"/>
      <c r="AX10" s="133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</row>
    <row r="11" spans="1:400" x14ac:dyDescent="0.25">
      <c r="A11" s="88" t="s">
        <v>53</v>
      </c>
      <c r="B11" s="5">
        <v>200</v>
      </c>
      <c r="D11" s="2">
        <v>14</v>
      </c>
      <c r="E11" s="2">
        <v>165</v>
      </c>
      <c r="F11" s="2">
        <v>78.513395325712096</v>
      </c>
      <c r="G11" s="2">
        <v>78.285458388510634</v>
      </c>
      <c r="H11" s="2">
        <v>78.056436178985834</v>
      </c>
      <c r="I11" s="2">
        <v>77.8263654000381</v>
      </c>
      <c r="J11" s="2">
        <v>77.595288089620695</v>
      </c>
      <c r="K11" s="2">
        <v>77.363250771801049</v>
      </c>
      <c r="L11" s="2">
        <v>77.130303150986705</v>
      </c>
      <c r="M11" s="2">
        <v>76.896496343079306</v>
      </c>
      <c r="N11" s="2">
        <v>76.661880706493832</v>
      </c>
      <c r="O11" s="2">
        <v>76.426503428036</v>
      </c>
      <c r="P11" s="2">
        <v>76.190406121315434</v>
      </c>
      <c r="Q11" s="2">
        <v>75.953622783072774</v>
      </c>
      <c r="R11" s="2">
        <v>75.716178487622969</v>
      </c>
      <c r="S11" s="2">
        <v>75.478089141829059</v>
      </c>
      <c r="T11" s="2">
        <v>75.23936245282583</v>
      </c>
      <c r="U11" s="3">
        <v>75</v>
      </c>
      <c r="V11" s="2"/>
      <c r="W11" s="2">
        <v>-1.0903749999999999</v>
      </c>
      <c r="X11" s="2">
        <v>3.2714166666666666</v>
      </c>
      <c r="Y11" s="2">
        <v>-1.178375</v>
      </c>
      <c r="Z11" s="2">
        <v>1.0000000000000002</v>
      </c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133"/>
      <c r="AW11" s="133"/>
      <c r="AX11" s="133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</row>
    <row r="12" spans="1:400" x14ac:dyDescent="0.25">
      <c r="A12" s="88" t="s">
        <v>32</v>
      </c>
      <c r="B12" s="5">
        <v>21</v>
      </c>
      <c r="D12" s="2">
        <v>13</v>
      </c>
      <c r="E12" s="2">
        <v>160</v>
      </c>
      <c r="F12" s="2">
        <v>73.505722558360645</v>
      </c>
      <c r="G12" s="2">
        <v>73.279311164525296</v>
      </c>
      <c r="H12" s="2">
        <v>73.051625127883341</v>
      </c>
      <c r="I12" s="2">
        <v>72.82270094255361</v>
      </c>
      <c r="J12" s="2">
        <v>72.59258400384104</v>
      </c>
      <c r="K12" s="2">
        <v>72.361328268866515</v>
      </c>
      <c r="L12" s="2">
        <v>72.128995248163051</v>
      </c>
      <c r="M12" s="2">
        <v>71.895652199447568</v>
      </c>
      <c r="N12" s="2">
        <v>71.661369467990752</v>
      </c>
      <c r="O12" s="2">
        <v>71.426217049115721</v>
      </c>
      <c r="P12" s="2">
        <v>71.190260638572241</v>
      </c>
      <c r="Q12" s="2">
        <v>70.953557663368215</v>
      </c>
      <c r="R12" s="2">
        <v>70.716153989770106</v>
      </c>
      <c r="S12" s="2">
        <v>70.47808208561807</v>
      </c>
      <c r="T12" s="2">
        <v>70.23936124720133</v>
      </c>
      <c r="U12" s="3">
        <v>70</v>
      </c>
      <c r="V12" s="2"/>
      <c r="W12" s="2">
        <v>-1.024</v>
      </c>
      <c r="X12" s="2">
        <v>3.1359999999999997</v>
      </c>
      <c r="Y12" s="2">
        <v>-1.1093333333333333</v>
      </c>
      <c r="Z12" s="2">
        <v>0.99999999999999978</v>
      </c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133"/>
      <c r="AW12" s="133"/>
      <c r="AX12" s="133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</row>
    <row r="13" spans="1:400" x14ac:dyDescent="0.25">
      <c r="A13" s="89" t="s">
        <v>36</v>
      </c>
      <c r="B13" s="6">
        <v>5</v>
      </c>
      <c r="D13" s="2">
        <v>12</v>
      </c>
      <c r="E13" s="2">
        <v>155</v>
      </c>
      <c r="F13" s="2">
        <v>68.493269756351324</v>
      </c>
      <c r="G13" s="2">
        <v>68.269166189856932</v>
      </c>
      <c r="H13" s="2">
        <v>68.043543871028902</v>
      </c>
      <c r="I13" s="2">
        <v>67.816430470278135</v>
      </c>
      <c r="J13" s="2">
        <v>67.587866777109127</v>
      </c>
      <c r="K13" s="2">
        <v>67.357907565251665</v>
      </c>
      <c r="L13" s="2">
        <v>67.126621682907384</v>
      </c>
      <c r="M13" s="2">
        <v>66.894091034720887</v>
      </c>
      <c r="N13" s="2">
        <v>66.660408143326293</v>
      </c>
      <c r="O13" s="2">
        <v>66.425672094355519</v>
      </c>
      <c r="P13" s="2">
        <v>66.189982918569385</v>
      </c>
      <c r="Q13" s="2">
        <v>65.953434865101443</v>
      </c>
      <c r="R13" s="2">
        <v>65.716109528676327</v>
      </c>
      <c r="S13" s="2">
        <v>65.478070265587135</v>
      </c>
      <c r="T13" s="2">
        <v>65.239359495659414</v>
      </c>
      <c r="U13" s="3">
        <v>65</v>
      </c>
      <c r="V13" s="2"/>
      <c r="W13" s="2">
        <v>-0.95970833333333327</v>
      </c>
      <c r="X13" s="2">
        <v>3.00475</v>
      </c>
      <c r="Y13" s="2">
        <v>-1.0423750000000001</v>
      </c>
      <c r="Z13" s="2">
        <v>1</v>
      </c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133"/>
      <c r="AW13" s="133"/>
      <c r="AX13" s="133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</row>
    <row r="14" spans="1:400" x14ac:dyDescent="0.25">
      <c r="A14" s="119" t="s">
        <v>52</v>
      </c>
      <c r="B14" s="113">
        <v>7.7908165679947805</v>
      </c>
      <c r="D14" s="2">
        <v>11</v>
      </c>
      <c r="E14" s="2">
        <v>150</v>
      </c>
      <c r="F14" s="2">
        <v>63.472886962638142</v>
      </c>
      <c r="G14" s="2">
        <v>63.252249828842096</v>
      </c>
      <c r="H14" s="2">
        <v>63.029795754111284</v>
      </c>
      <c r="I14" s="2">
        <v>62.805529232108476</v>
      </c>
      <c r="J14" s="2">
        <v>62.579471591816798</v>
      </c>
      <c r="K14" s="2">
        <v>62.351663980747105</v>
      </c>
      <c r="L14" s="2">
        <v>62.122169803524798</v>
      </c>
      <c r="M14" s="2">
        <v>61.891076037183637</v>
      </c>
      <c r="N14" s="2">
        <v>61.658492710570712</v>
      </c>
      <c r="O14" s="2">
        <v>61.424549795899814</v>
      </c>
      <c r="P14" s="2">
        <v>61.189390918773782</v>
      </c>
      <c r="Q14" s="2">
        <v>60.953163769774285</v>
      </c>
      <c r="R14" s="2">
        <v>60.716007980497302</v>
      </c>
      <c r="S14" s="2">
        <v>60.478042447827775</v>
      </c>
      <c r="T14" s="2">
        <v>60.239355288010572</v>
      </c>
      <c r="U14" s="3">
        <v>60</v>
      </c>
      <c r="V14" s="2"/>
      <c r="W14" s="2">
        <v>-0.89749999999999996</v>
      </c>
      <c r="X14" s="2">
        <v>2.8776666666666664</v>
      </c>
      <c r="Y14" s="2">
        <v>-0.97749999999999992</v>
      </c>
      <c r="Z14" s="2">
        <v>0.99999999999999978</v>
      </c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133"/>
      <c r="AW14" s="133"/>
      <c r="AX14" s="133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</row>
    <row r="15" spans="1:400" x14ac:dyDescent="0.25">
      <c r="D15" s="2">
        <v>10</v>
      </c>
      <c r="E15" s="2">
        <v>145</v>
      </c>
      <c r="F15" s="2">
        <v>58.439431792545392</v>
      </c>
      <c r="G15" s="2">
        <v>58.223938963158574</v>
      </c>
      <c r="H15" s="2">
        <v>58.006294019359316</v>
      </c>
      <c r="I15" s="2">
        <v>57.786457467502849</v>
      </c>
      <c r="J15" s="2">
        <v>57.564407422856277</v>
      </c>
      <c r="K15" s="2">
        <v>57.340145515362963</v>
      </c>
      <c r="L15" s="2">
        <v>57.113703144717803</v>
      </c>
      <c r="M15" s="2">
        <v>56.885147386434603</v>
      </c>
      <c r="N15" s="2">
        <v>56.654585441913866</v>
      </c>
      <c r="O15" s="2">
        <v>56.422166096558641</v>
      </c>
      <c r="P15" s="2">
        <v>56.188076354223355</v>
      </c>
      <c r="Q15" s="2">
        <v>55.952531528712889</v>
      </c>
      <c r="R15" s="2">
        <v>55.71575797931532</v>
      </c>
      <c r="S15" s="2">
        <v>55.477969743447041</v>
      </c>
      <c r="T15" s="2">
        <v>55.239343539600348</v>
      </c>
      <c r="U15" s="3">
        <v>55</v>
      </c>
      <c r="V15" s="2"/>
      <c r="W15" s="2">
        <v>-0.83737499999999998</v>
      </c>
      <c r="X15" s="2">
        <v>2.75475</v>
      </c>
      <c r="Y15" s="2">
        <v>-0.91470833333333323</v>
      </c>
      <c r="Z15" s="2">
        <v>1.0000000000000002</v>
      </c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133"/>
      <c r="AW15" s="133"/>
      <c r="AX15" s="133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</row>
    <row r="16" spans="1:400" x14ac:dyDescent="0.25">
      <c r="D16" s="2">
        <v>9</v>
      </c>
      <c r="E16" s="2">
        <v>140</v>
      </c>
      <c r="F16" s="2">
        <v>53.384573365464782</v>
      </c>
      <c r="G16" s="2">
        <v>53.176583751459042</v>
      </c>
      <c r="H16" s="2">
        <v>52.966116205694831</v>
      </c>
      <c r="I16" s="2">
        <v>52.75306203042522</v>
      </c>
      <c r="J16" s="2">
        <v>52.537323985214456</v>
      </c>
      <c r="K16" s="2">
        <v>52.318824986820864</v>
      </c>
      <c r="L16" s="2">
        <v>52.097518969928991</v>
      </c>
      <c r="M16" s="2">
        <v>51.87340356553279</v>
      </c>
      <c r="N16" s="2">
        <v>51.646533567902047</v>
      </c>
      <c r="O16" s="2">
        <v>51.417033146097886</v>
      </c>
      <c r="P16" s="2">
        <v>51.185103475850788</v>
      </c>
      <c r="Q16" s="2">
        <v>50.951021234408202</v>
      </c>
      <c r="R16" s="2">
        <v>50.715122953966635</v>
      </c>
      <c r="S16" s="2">
        <v>50.477771847075992</v>
      </c>
      <c r="T16" s="2">
        <v>50.23930895852326</v>
      </c>
      <c r="U16" s="3">
        <v>50</v>
      </c>
      <c r="V16" s="2"/>
      <c r="W16" s="2">
        <v>-0.77933333333333332</v>
      </c>
      <c r="X16" s="2">
        <v>2.6360000000000001</v>
      </c>
      <c r="Y16" s="2">
        <v>-0.85399999999999998</v>
      </c>
      <c r="Z16" s="2">
        <v>1.0000000000000002</v>
      </c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133"/>
      <c r="AW16" s="133"/>
      <c r="AX16" s="133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</row>
    <row r="17" spans="1:400" x14ac:dyDescent="0.25">
      <c r="D17" s="2">
        <v>8</v>
      </c>
      <c r="E17" s="2">
        <v>135</v>
      </c>
      <c r="F17" s="2">
        <v>48.294966068099676</v>
      </c>
      <c r="G17" s="2">
        <v>48.097666409684052</v>
      </c>
      <c r="H17" s="2">
        <v>47.897662782617822</v>
      </c>
      <c r="I17" s="2">
        <v>47.694755581358848</v>
      </c>
      <c r="J17" s="2">
        <v>47.48873879266705</v>
      </c>
      <c r="K17" s="2">
        <v>47.279409014385159</v>
      </c>
      <c r="L17" s="2">
        <v>47.066579067935429</v>
      </c>
      <c r="M17" s="2">
        <v>46.850097129376273</v>
      </c>
      <c r="N17" s="2">
        <v>46.629871734171246</v>
      </c>
      <c r="O17" s="2">
        <v>46.405901690507456</v>
      </c>
      <c r="P17" s="2">
        <v>46.178307512524881</v>
      </c>
      <c r="Q17" s="2">
        <v>45.947357264002449</v>
      </c>
      <c r="R17" s="2">
        <v>45.71347512221314</v>
      </c>
      <c r="S17" s="2">
        <v>45.477217454403686</v>
      </c>
      <c r="T17" s="2">
        <v>45.239203205964841</v>
      </c>
      <c r="U17" s="3">
        <v>45</v>
      </c>
      <c r="V17" s="2"/>
      <c r="W17" s="2">
        <v>-0.72337499999999999</v>
      </c>
      <c r="X17" s="2">
        <v>2.5214166666666666</v>
      </c>
      <c r="Y17" s="2">
        <v>-0.79537499999999994</v>
      </c>
      <c r="Z17" s="2">
        <v>1.0000000000000002</v>
      </c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133"/>
      <c r="AW17" s="133"/>
      <c r="AX17" s="133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</row>
    <row r="18" spans="1:400" x14ac:dyDescent="0.25">
      <c r="D18" s="2">
        <v>7</v>
      </c>
      <c r="E18" s="2">
        <v>130</v>
      </c>
      <c r="F18" s="2">
        <v>43.149557159104276</v>
      </c>
      <c r="G18" s="2">
        <v>42.967022124370224</v>
      </c>
      <c r="H18" s="2">
        <v>42.781800554358291</v>
      </c>
      <c r="I18" s="2">
        <v>42.59360100959352</v>
      </c>
      <c r="J18" s="2">
        <v>42.402093508464446</v>
      </c>
      <c r="K18" s="2">
        <v>42.206912579495977</v>
      </c>
      <c r="L18" s="2">
        <v>42.007666320778746</v>
      </c>
      <c r="M18" s="2">
        <v>41.803954576609101</v>
      </c>
      <c r="N18" s="2">
        <v>41.595399935013972</v>
      </c>
      <c r="O18" s="2">
        <v>41.381695113928274</v>
      </c>
      <c r="P18" s="2">
        <v>41.162668407715927</v>
      </c>
      <c r="Q18" s="2">
        <v>40.938363584880513</v>
      </c>
      <c r="R18" s="2">
        <v>40.709120014495035</v>
      </c>
      <c r="S18" s="2">
        <v>40.475621986279307</v>
      </c>
      <c r="T18" s="2">
        <v>40.238867236709055</v>
      </c>
      <c r="U18" s="3">
        <v>40</v>
      </c>
      <c r="V18" s="2"/>
      <c r="W18" s="2">
        <v>-0.66949999999999998</v>
      </c>
      <c r="X18" s="2">
        <v>2.411</v>
      </c>
      <c r="Y18" s="2">
        <v>-0.73883333333333334</v>
      </c>
      <c r="Z18" s="2">
        <v>1.0000000000000002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133"/>
      <c r="AW18" s="133"/>
      <c r="AX18" s="133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</row>
    <row r="19" spans="1:400" x14ac:dyDescent="0.25">
      <c r="D19" s="2">
        <v>6</v>
      </c>
      <c r="E19" s="2">
        <v>125</v>
      </c>
      <c r="F19" s="2">
        <v>37.915801975975924</v>
      </c>
      <c r="G19" s="2">
        <v>37.752846285999624</v>
      </c>
      <c r="H19" s="2">
        <v>37.587647908001266</v>
      </c>
      <c r="I19" s="2">
        <v>37.419870465976949</v>
      </c>
      <c r="J19" s="2">
        <v>37.249098866959862</v>
      </c>
      <c r="K19" s="2">
        <v>37.074826808450815</v>
      </c>
      <c r="L19" s="2">
        <v>36.896447231409752</v>
      </c>
      <c r="M19" s="2">
        <v>36.713250366098684</v>
      </c>
      <c r="N19" s="2">
        <v>36.524436987493509</v>
      </c>
      <c r="O19" s="2">
        <v>36.329158296681918</v>
      </c>
      <c r="P19" s="2">
        <v>36.126597578718631</v>
      </c>
      <c r="Q19" s="2">
        <v>35.916109728799711</v>
      </c>
      <c r="R19" s="2">
        <v>35.697426685396692</v>
      </c>
      <c r="S19" s="2">
        <v>35.470908453545086</v>
      </c>
      <c r="T19" s="2">
        <v>35.237755945778211</v>
      </c>
      <c r="U19" s="3">
        <v>35</v>
      </c>
      <c r="V19" s="2"/>
      <c r="W19" s="2">
        <v>-0.6177083333333333</v>
      </c>
      <c r="X19" s="2">
        <v>2.3047499999999999</v>
      </c>
      <c r="Y19" s="2">
        <v>-0.68437499999999996</v>
      </c>
      <c r="Z19" s="2">
        <v>1</v>
      </c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133"/>
      <c r="AW19" s="133"/>
      <c r="AX19" s="133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</row>
    <row r="20" spans="1:400" x14ac:dyDescent="0.25">
      <c r="D20" s="2">
        <v>5</v>
      </c>
      <c r="E20" s="2">
        <v>120</v>
      </c>
      <c r="F20" s="2">
        <v>32.544680154931093</v>
      </c>
      <c r="G20" s="2">
        <v>32.406344099761995</v>
      </c>
      <c r="H20" s="2">
        <v>32.266791979386184</v>
      </c>
      <c r="I20" s="2">
        <v>32.125763613183054</v>
      </c>
      <c r="J20" s="2">
        <v>31.982895477077214</v>
      </c>
      <c r="K20" s="2">
        <v>31.837686165975914</v>
      </c>
      <c r="L20" s="2">
        <v>31.689453899024581</v>
      </c>
      <c r="M20" s="2">
        <v>31.537287631010706</v>
      </c>
      <c r="N20" s="2">
        <v>31.379997603591583</v>
      </c>
      <c r="O20" s="2">
        <v>31.216079452758468</v>
      </c>
      <c r="P20" s="2">
        <v>31.043720497896462</v>
      </c>
      <c r="Q20" s="2">
        <v>30.860899238289658</v>
      </c>
      <c r="R20" s="2">
        <v>30.665656698338577</v>
      </c>
      <c r="S20" s="2">
        <v>30.456633819634284</v>
      </c>
      <c r="T20" s="2">
        <v>30.233918247678236</v>
      </c>
      <c r="U20" s="3">
        <v>30</v>
      </c>
      <c r="V20" s="2"/>
      <c r="W20" s="2">
        <v>-0.56799999999999995</v>
      </c>
      <c r="X20" s="2">
        <v>2.2026666666666666</v>
      </c>
      <c r="Y20" s="2">
        <v>-0.63200000000000001</v>
      </c>
      <c r="Z20" s="2">
        <v>0.99999999999999978</v>
      </c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133"/>
      <c r="AW20" s="133"/>
      <c r="AX20" s="133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</row>
    <row r="21" spans="1:400" x14ac:dyDescent="0.25">
      <c r="D21" s="2">
        <v>4</v>
      </c>
      <c r="E21" s="2">
        <v>115</v>
      </c>
      <c r="F21" s="2">
        <v>26.964702827493124</v>
      </c>
      <c r="G21" s="2">
        <v>26.855251945313015</v>
      </c>
      <c r="H21" s="2">
        <v>26.746179651798318</v>
      </c>
      <c r="I21" s="2">
        <v>26.63749126830378</v>
      </c>
      <c r="J21" s="2">
        <v>26.529121691809021</v>
      </c>
      <c r="K21" s="2">
        <v>26.420890175394547</v>
      </c>
      <c r="L21" s="2">
        <v>26.312432230615844</v>
      </c>
      <c r="M21" s="2">
        <v>26.20309927278219</v>
      </c>
      <c r="N21" s="2">
        <v>26.091815303973036</v>
      </c>
      <c r="O21" s="2">
        <v>25.976882276777943</v>
      </c>
      <c r="P21" s="2">
        <v>25.855738454213789</v>
      </c>
      <c r="Q21" s="2">
        <v>25.724711282745343</v>
      </c>
      <c r="R21" s="2">
        <v>25.578894957867558</v>
      </c>
      <c r="S21" s="2">
        <v>25.412464265954888</v>
      </c>
      <c r="T21" s="2">
        <v>25.220039030200866</v>
      </c>
      <c r="U21" s="3">
        <v>25</v>
      </c>
      <c r="V21" s="2"/>
      <c r="W21" s="2">
        <v>-0.52037499999999992</v>
      </c>
      <c r="X21" s="2">
        <v>2.1047500000000001</v>
      </c>
      <c r="Y21" s="2">
        <v>-0.58170833333333327</v>
      </c>
      <c r="Z21" s="2">
        <v>1.0000000000000002</v>
      </c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133"/>
      <c r="AW21" s="133"/>
      <c r="AX21" s="133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</row>
    <row r="22" spans="1:400" x14ac:dyDescent="0.25">
      <c r="D22" s="2">
        <v>3</v>
      </c>
      <c r="E22" s="2">
        <v>110</v>
      </c>
      <c r="F22" s="2">
        <v>21.075560276842218</v>
      </c>
      <c r="G22" s="2">
        <v>20.997110669037152</v>
      </c>
      <c r="H22" s="2">
        <v>20.920813969688464</v>
      </c>
      <c r="I22" s="2">
        <v>20.847107656340153</v>
      </c>
      <c r="J22" s="2">
        <v>20.776482118271836</v>
      </c>
      <c r="K22" s="2">
        <v>20.709467228914274</v>
      </c>
      <c r="L22" s="2">
        <v>20.646597266896801</v>
      </c>
      <c r="M22" s="2">
        <v>20.588335075140236</v>
      </c>
      <c r="N22" s="2">
        <v>20.534921697372205</v>
      </c>
      <c r="O22" s="2">
        <v>20.486093617428871</v>
      </c>
      <c r="P22" s="2">
        <v>20.440573274011914</v>
      </c>
      <c r="Q22" s="2">
        <v>20.395193568901838</v>
      </c>
      <c r="R22" s="2">
        <v>20.34349622494193</v>
      </c>
      <c r="S22" s="2">
        <v>20.273778400969679</v>
      </c>
      <c r="T22" s="2">
        <v>20.167292730861629</v>
      </c>
      <c r="U22" s="3">
        <v>20</v>
      </c>
      <c r="V22" s="2"/>
      <c r="W22" s="2">
        <v>-0.47483333333333327</v>
      </c>
      <c r="X22" s="2">
        <v>2.0110000000000001</v>
      </c>
      <c r="Y22" s="2">
        <v>-0.53349999999999997</v>
      </c>
      <c r="Z22" s="2">
        <v>1.0000000000000002</v>
      </c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133"/>
      <c r="AW22" s="133"/>
      <c r="AX22" s="133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</row>
    <row r="23" spans="1:400" x14ac:dyDescent="0.25">
      <c r="D23" s="2">
        <v>2</v>
      </c>
      <c r="E23" s="2">
        <v>105</v>
      </c>
      <c r="F23" s="2">
        <v>14.742377162284946</v>
      </c>
      <c r="G23" s="2">
        <v>14.693784498955608</v>
      </c>
      <c r="H23" s="2">
        <v>14.648429046968648</v>
      </c>
      <c r="I23" s="2">
        <v>14.607124858521903</v>
      </c>
      <c r="J23" s="2">
        <v>14.570906047771732</v>
      </c>
      <c r="K23" s="2">
        <v>14.541094605567176</v>
      </c>
      <c r="L23" s="2">
        <v>14.519388066456333</v>
      </c>
      <c r="M23" s="2">
        <v>14.507967729109541</v>
      </c>
      <c r="N23" s="2">
        <v>14.509618360092006</v>
      </c>
      <c r="O23" s="2">
        <v>14.527822315148859</v>
      </c>
      <c r="P23" s="2">
        <v>14.566717065243376</v>
      </c>
      <c r="Q23" s="2">
        <v>14.630616860881069</v>
      </c>
      <c r="R23" s="2">
        <v>14.722327934081148</v>
      </c>
      <c r="S23" s="2">
        <v>14.838313683962376</v>
      </c>
      <c r="T23" s="2">
        <v>14.955847369218485</v>
      </c>
      <c r="U23" s="3">
        <v>15</v>
      </c>
      <c r="V23" s="2"/>
      <c r="W23" s="2">
        <v>-0.43137499999999995</v>
      </c>
      <c r="X23" s="2">
        <v>1.9214166666666666</v>
      </c>
      <c r="Y23" s="2">
        <v>-0.48737499999999995</v>
      </c>
      <c r="Z23" s="2">
        <v>1</v>
      </c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133"/>
      <c r="AW23" s="133"/>
      <c r="AX23" s="133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</row>
    <row r="24" spans="1:400" x14ac:dyDescent="0.25">
      <c r="D24" s="2">
        <v>1</v>
      </c>
      <c r="E24" s="2">
        <v>100</v>
      </c>
      <c r="F24" s="138">
        <v>7.7908165679947805</v>
      </c>
      <c r="G24" s="2">
        <v>7.7681520102254238</v>
      </c>
      <c r="H24" s="2">
        <v>7.7480826295702245</v>
      </c>
      <c r="I24" s="2">
        <v>7.7313428304014984</v>
      </c>
      <c r="J24" s="2">
        <v>7.7189200826724402</v>
      </c>
      <c r="K24" s="2">
        <v>7.7121689239411317</v>
      </c>
      <c r="L24" s="2">
        <v>7.7129902025544688</v>
      </c>
      <c r="M24" s="2">
        <v>7.7241213024276956</v>
      </c>
      <c r="N24" s="2">
        <v>7.7496210180186846</v>
      </c>
      <c r="O24" s="2">
        <v>7.7957067161081826</v>
      </c>
      <c r="P24" s="2">
        <v>7.8722496377252957</v>
      </c>
      <c r="Q24" s="2">
        <v>7.9955391026057461</v>
      </c>
      <c r="R24" s="2">
        <v>8.1935696507268752</v>
      </c>
      <c r="S24" s="2">
        <v>8.516495161291898</v>
      </c>
      <c r="T24" s="2">
        <v>9.0579660495752705</v>
      </c>
      <c r="U24" s="3">
        <v>10</v>
      </c>
      <c r="V24" s="2"/>
      <c r="W24" s="2">
        <v>-0.38999999999999996</v>
      </c>
      <c r="X24" s="2">
        <v>1.8359999999999999</v>
      </c>
      <c r="Y24" s="2">
        <v>-0.4433333333333333</v>
      </c>
      <c r="Z24" s="2">
        <v>1</v>
      </c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133"/>
      <c r="AW24" s="133"/>
      <c r="AX24" s="133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</row>
    <row r="25" spans="1:400" x14ac:dyDescent="0.25">
      <c r="A25" t="s">
        <v>82</v>
      </c>
      <c r="D25" s="2">
        <v>0</v>
      </c>
      <c r="E25" s="2">
        <v>95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2"/>
      <c r="W25" s="2">
        <v>-0.35070833333333329</v>
      </c>
      <c r="X25" s="2">
        <v>1.75475</v>
      </c>
      <c r="Y25" s="2">
        <v>-0.40137499999999998</v>
      </c>
      <c r="Z25" s="2">
        <v>1</v>
      </c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133"/>
      <c r="AW25" s="133"/>
      <c r="AX25" s="133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</row>
    <row r="26" spans="1:400" x14ac:dyDescent="0.25">
      <c r="A26" t="s">
        <v>83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133"/>
      <c r="AW26" s="133"/>
      <c r="AX26" s="133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</row>
    <row r="27" spans="1:400" x14ac:dyDescent="0.25"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133"/>
      <c r="AW27" s="133"/>
      <c r="AX27" s="133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</row>
    <row r="28" spans="1:400" x14ac:dyDescent="0.25"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133"/>
      <c r="AW28" s="133"/>
      <c r="AX28" s="133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</row>
    <row r="29" spans="1:400" x14ac:dyDescent="0.25"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133"/>
      <c r="AW29" s="133"/>
      <c r="AX29" s="133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</row>
    <row r="30" spans="1:400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133"/>
      <c r="AW30" s="133"/>
      <c r="AX30" s="133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</row>
    <row r="31" spans="1:400" x14ac:dyDescent="0.25"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133"/>
      <c r="AW31" s="133"/>
      <c r="AX31" s="133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</row>
    <row r="32" spans="1:400" x14ac:dyDescent="0.25"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133"/>
      <c r="AW32" s="133"/>
      <c r="AX32" s="133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</row>
    <row r="33" spans="4:400" x14ac:dyDescent="0.25"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133"/>
      <c r="AW33" s="133"/>
      <c r="AX33" s="133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</row>
    <row r="34" spans="4:400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133"/>
      <c r="AW34" s="133"/>
      <c r="AX34" s="133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</row>
    <row r="35" spans="4:400" x14ac:dyDescent="0.25"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</row>
    <row r="36" spans="4:400" x14ac:dyDescent="0.25"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</row>
    <row r="37" spans="4:400" x14ac:dyDescent="0.25"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</row>
    <row r="38" spans="4:400" x14ac:dyDescent="0.25"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</row>
    <row r="39" spans="4:400" x14ac:dyDescent="0.25"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</row>
    <row r="40" spans="4:400" x14ac:dyDescent="0.25"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</row>
    <row r="41" spans="4:400" x14ac:dyDescent="0.25"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</row>
    <row r="42" spans="4:400" x14ac:dyDescent="0.25"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</row>
    <row r="43" spans="4:400" x14ac:dyDescent="0.25"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</row>
    <row r="44" spans="4:400" x14ac:dyDescent="0.25"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</row>
    <row r="45" spans="4:400" x14ac:dyDescent="0.25"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</row>
    <row r="46" spans="4:400" x14ac:dyDescent="0.25"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</row>
    <row r="47" spans="4:400" x14ac:dyDescent="0.25"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</row>
    <row r="48" spans="4:400" x14ac:dyDescent="0.25"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</row>
    <row r="49" spans="4:400" x14ac:dyDescent="0.25"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</row>
    <row r="50" spans="4:400" x14ac:dyDescent="0.25"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</row>
    <row r="51" spans="4:400" x14ac:dyDescent="0.25"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</row>
    <row r="52" spans="4:400" x14ac:dyDescent="0.25"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</row>
    <row r="53" spans="4:400" x14ac:dyDescent="0.25"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</row>
    <row r="54" spans="4:400" x14ac:dyDescent="0.25"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</row>
    <row r="55" spans="4:400" x14ac:dyDescent="0.25"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</row>
    <row r="56" spans="4:400" x14ac:dyDescent="0.25"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</row>
    <row r="57" spans="4:400" x14ac:dyDescent="0.25"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</row>
    <row r="58" spans="4:400" x14ac:dyDescent="0.25"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</row>
    <row r="59" spans="4:400" x14ac:dyDescent="0.25"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</row>
    <row r="60" spans="4:400" x14ac:dyDescent="0.25"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</row>
    <row r="61" spans="4:400" x14ac:dyDescent="0.25"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</row>
    <row r="62" spans="4:400" x14ac:dyDescent="0.25"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</row>
    <row r="63" spans="4:400" x14ac:dyDescent="0.25"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</row>
    <row r="64" spans="4:400" x14ac:dyDescent="0.25"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</row>
    <row r="65" spans="4:400" x14ac:dyDescent="0.25"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</row>
    <row r="66" spans="4:400" x14ac:dyDescent="0.25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</row>
    <row r="67" spans="4:400" x14ac:dyDescent="0.25"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</row>
    <row r="68" spans="4:400" x14ac:dyDescent="0.25"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</row>
    <row r="69" spans="4:400" x14ac:dyDescent="0.25"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</row>
    <row r="70" spans="4:400" x14ac:dyDescent="0.25"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</row>
    <row r="71" spans="4:400" x14ac:dyDescent="0.25"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</row>
    <row r="72" spans="4:400" x14ac:dyDescent="0.25"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</row>
    <row r="73" spans="4:400" x14ac:dyDescent="0.25"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</row>
    <row r="74" spans="4:400" x14ac:dyDescent="0.25"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</row>
    <row r="75" spans="4:400" x14ac:dyDescent="0.25"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</row>
    <row r="76" spans="4:400" x14ac:dyDescent="0.25"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</row>
    <row r="77" spans="4:400" x14ac:dyDescent="0.25"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</row>
    <row r="78" spans="4:400" x14ac:dyDescent="0.25"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</row>
    <row r="79" spans="4:400" x14ac:dyDescent="0.25"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</row>
    <row r="80" spans="4:400" x14ac:dyDescent="0.25"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</row>
    <row r="81" spans="4:400" x14ac:dyDescent="0.25"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</row>
    <row r="82" spans="4:400" x14ac:dyDescent="0.25"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</row>
    <row r="83" spans="4:400" x14ac:dyDescent="0.25"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</row>
    <row r="84" spans="4:400" x14ac:dyDescent="0.25"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</row>
    <row r="85" spans="4:400" x14ac:dyDescent="0.25"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</row>
    <row r="86" spans="4:400" x14ac:dyDescent="0.25"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</row>
    <row r="87" spans="4:400" x14ac:dyDescent="0.25"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</row>
    <row r="88" spans="4:400" x14ac:dyDescent="0.25"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</row>
    <row r="89" spans="4:400" x14ac:dyDescent="0.25"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</row>
    <row r="90" spans="4:400" x14ac:dyDescent="0.25"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</row>
    <row r="91" spans="4:400" x14ac:dyDescent="0.25"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</row>
    <row r="92" spans="4:400" x14ac:dyDescent="0.25"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</row>
    <row r="93" spans="4:400" x14ac:dyDescent="0.25"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</row>
    <row r="94" spans="4:400" x14ac:dyDescent="0.25"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</row>
    <row r="95" spans="4:400" x14ac:dyDescent="0.25"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</row>
    <row r="96" spans="4:400" x14ac:dyDescent="0.25"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</row>
    <row r="97" spans="4:400" x14ac:dyDescent="0.25"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</row>
    <row r="98" spans="4:400" x14ac:dyDescent="0.25"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</row>
    <row r="99" spans="4:400" x14ac:dyDescent="0.25"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</row>
    <row r="100" spans="4:400" x14ac:dyDescent="0.25"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</row>
    <row r="101" spans="4:400" x14ac:dyDescent="0.25"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</row>
    <row r="102" spans="4:400" x14ac:dyDescent="0.25"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</row>
    <row r="103" spans="4:400" x14ac:dyDescent="0.25"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</row>
    <row r="104" spans="4:400" x14ac:dyDescent="0.25"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</row>
    <row r="105" spans="4:400" x14ac:dyDescent="0.25"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</row>
    <row r="106" spans="4:400" x14ac:dyDescent="0.25"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</row>
    <row r="107" spans="4:400" x14ac:dyDescent="0.25"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</row>
    <row r="108" spans="4:400" x14ac:dyDescent="0.25"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</row>
    <row r="109" spans="4:400" x14ac:dyDescent="0.25"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</row>
    <row r="110" spans="4:400" x14ac:dyDescent="0.25"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</row>
    <row r="111" spans="4:400" x14ac:dyDescent="0.25"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</row>
    <row r="112" spans="4:400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</row>
    <row r="113" spans="4:400" x14ac:dyDescent="0.25"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</row>
    <row r="114" spans="4:400" x14ac:dyDescent="0.25"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</row>
    <row r="115" spans="4:400" x14ac:dyDescent="0.25"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</row>
    <row r="116" spans="4:400" x14ac:dyDescent="0.25"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</row>
    <row r="117" spans="4:400" x14ac:dyDescent="0.25"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</row>
    <row r="118" spans="4:400" x14ac:dyDescent="0.25"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</row>
    <row r="119" spans="4:400" x14ac:dyDescent="0.25"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</row>
    <row r="120" spans="4:400" x14ac:dyDescent="0.25"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</row>
    <row r="121" spans="4:400" x14ac:dyDescent="0.25"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</row>
    <row r="122" spans="4:400" x14ac:dyDescent="0.25"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</row>
    <row r="123" spans="4:400" x14ac:dyDescent="0.25"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</row>
    <row r="124" spans="4:400" x14ac:dyDescent="0.25"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</row>
    <row r="125" spans="4:400" x14ac:dyDescent="0.25"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</row>
    <row r="126" spans="4:400" x14ac:dyDescent="0.25"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</row>
    <row r="127" spans="4:400" x14ac:dyDescent="0.25"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</row>
    <row r="128" spans="4:400" x14ac:dyDescent="0.25"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</row>
    <row r="129" spans="4:400" x14ac:dyDescent="0.25"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</row>
    <row r="130" spans="4:400" x14ac:dyDescent="0.25"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</row>
    <row r="131" spans="4:400" x14ac:dyDescent="0.25"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</row>
    <row r="132" spans="4:400" x14ac:dyDescent="0.25"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</row>
    <row r="133" spans="4:400" x14ac:dyDescent="0.25"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</row>
    <row r="134" spans="4:400" x14ac:dyDescent="0.25"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</row>
    <row r="135" spans="4:400" x14ac:dyDescent="0.25"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</row>
    <row r="136" spans="4:400" x14ac:dyDescent="0.25"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</row>
    <row r="137" spans="4:400" x14ac:dyDescent="0.25"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</row>
    <row r="138" spans="4:400" x14ac:dyDescent="0.25"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</row>
    <row r="139" spans="4:400" x14ac:dyDescent="0.25"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</row>
    <row r="140" spans="4:400" x14ac:dyDescent="0.25"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</row>
    <row r="141" spans="4:400" x14ac:dyDescent="0.25"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</row>
    <row r="142" spans="4:400" x14ac:dyDescent="0.25"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</row>
    <row r="143" spans="4:400" x14ac:dyDescent="0.25"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</row>
    <row r="144" spans="4:400" x14ac:dyDescent="0.25"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</row>
    <row r="145" spans="4:400" x14ac:dyDescent="0.25"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</row>
    <row r="146" spans="4:400" x14ac:dyDescent="0.25"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</row>
    <row r="147" spans="4:400" x14ac:dyDescent="0.25"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</row>
    <row r="148" spans="4:400" x14ac:dyDescent="0.25"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</row>
    <row r="149" spans="4:400" x14ac:dyDescent="0.25"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</row>
    <row r="150" spans="4:400" x14ac:dyDescent="0.25"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</row>
    <row r="151" spans="4:400" x14ac:dyDescent="0.25"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</row>
    <row r="152" spans="4:400" x14ac:dyDescent="0.25"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</row>
    <row r="153" spans="4:400" x14ac:dyDescent="0.25"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</row>
    <row r="154" spans="4:400" x14ac:dyDescent="0.25"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</row>
    <row r="155" spans="4:400" x14ac:dyDescent="0.25"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</row>
    <row r="156" spans="4:400" x14ac:dyDescent="0.25"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</row>
    <row r="157" spans="4:400" x14ac:dyDescent="0.25"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</row>
    <row r="158" spans="4:400" x14ac:dyDescent="0.25"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</row>
    <row r="159" spans="4:400" x14ac:dyDescent="0.25"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</row>
    <row r="160" spans="4:400" x14ac:dyDescent="0.25"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</row>
    <row r="161" spans="4:400" x14ac:dyDescent="0.25"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</row>
    <row r="162" spans="4:400" x14ac:dyDescent="0.25"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</row>
    <row r="163" spans="4:400" x14ac:dyDescent="0.25"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</row>
    <row r="164" spans="4:400" x14ac:dyDescent="0.25"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</row>
    <row r="165" spans="4:400" x14ac:dyDescent="0.25"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</row>
    <row r="166" spans="4:400" x14ac:dyDescent="0.25"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</row>
    <row r="167" spans="4:400" x14ac:dyDescent="0.25"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</row>
    <row r="168" spans="4:400" x14ac:dyDescent="0.25"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</row>
    <row r="169" spans="4:400" x14ac:dyDescent="0.25"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</row>
    <row r="170" spans="4:400" x14ac:dyDescent="0.25"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</row>
    <row r="171" spans="4:400" x14ac:dyDescent="0.25"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</row>
    <row r="172" spans="4:400" x14ac:dyDescent="0.25"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</row>
    <row r="173" spans="4:400" x14ac:dyDescent="0.25"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</row>
    <row r="174" spans="4:400" x14ac:dyDescent="0.25"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</row>
    <row r="175" spans="4:400" x14ac:dyDescent="0.25"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</row>
    <row r="176" spans="4:400" x14ac:dyDescent="0.25"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</row>
    <row r="177" spans="4:400" x14ac:dyDescent="0.25"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</row>
    <row r="178" spans="4:400" x14ac:dyDescent="0.25"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</row>
    <row r="179" spans="4:400" x14ac:dyDescent="0.25"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</row>
    <row r="180" spans="4:400" x14ac:dyDescent="0.25"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</row>
    <row r="181" spans="4:400" x14ac:dyDescent="0.25"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</row>
    <row r="182" spans="4:400" x14ac:dyDescent="0.25"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</row>
    <row r="183" spans="4:400" x14ac:dyDescent="0.25"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</row>
    <row r="184" spans="4:400" x14ac:dyDescent="0.25"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</row>
    <row r="185" spans="4:400" x14ac:dyDescent="0.25"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</row>
    <row r="186" spans="4:400" x14ac:dyDescent="0.25"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</row>
    <row r="187" spans="4:400" x14ac:dyDescent="0.25"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</row>
    <row r="188" spans="4:400" x14ac:dyDescent="0.25"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</row>
    <row r="189" spans="4:400" x14ac:dyDescent="0.25"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</row>
    <row r="190" spans="4:400" x14ac:dyDescent="0.25"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</row>
    <row r="191" spans="4:400" x14ac:dyDescent="0.25"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</row>
    <row r="192" spans="4:400" x14ac:dyDescent="0.25"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</row>
    <row r="193" spans="4:400" x14ac:dyDescent="0.25"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</row>
    <row r="194" spans="4:400" x14ac:dyDescent="0.25"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</row>
    <row r="195" spans="4:400" x14ac:dyDescent="0.25"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</row>
    <row r="196" spans="4:400" x14ac:dyDescent="0.25"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</row>
    <row r="197" spans="4:400" x14ac:dyDescent="0.25"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</row>
    <row r="198" spans="4:400" x14ac:dyDescent="0.25"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</row>
    <row r="199" spans="4:400" x14ac:dyDescent="0.25"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</row>
    <row r="200" spans="4:400" x14ac:dyDescent="0.25"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</row>
    <row r="201" spans="4:400" x14ac:dyDescent="0.25"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</row>
    <row r="202" spans="4:400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</row>
    <row r="203" spans="4:400" x14ac:dyDescent="0.25"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</row>
    <row r="204" spans="4:400" x14ac:dyDescent="0.25"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</row>
    <row r="205" spans="4:400" x14ac:dyDescent="0.25"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</row>
    <row r="206" spans="4:400" x14ac:dyDescent="0.25"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</row>
    <row r="207" spans="4:400" x14ac:dyDescent="0.25"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</row>
    <row r="208" spans="4:400" x14ac:dyDescent="0.25"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</row>
    <row r="209" spans="4:400" x14ac:dyDescent="0.25"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</row>
    <row r="210" spans="4:400" x14ac:dyDescent="0.25"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</row>
    <row r="211" spans="4:400" x14ac:dyDescent="0.25"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</row>
    <row r="212" spans="4:400" x14ac:dyDescent="0.25"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</row>
    <row r="213" spans="4:400" x14ac:dyDescent="0.25"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</row>
    <row r="214" spans="4:400" x14ac:dyDescent="0.25"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</row>
    <row r="215" spans="4:400" x14ac:dyDescent="0.25"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</row>
    <row r="216" spans="4:400" x14ac:dyDescent="0.25"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</row>
    <row r="217" spans="4:400" x14ac:dyDescent="0.25"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</row>
    <row r="218" spans="4:400" x14ac:dyDescent="0.25"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</row>
    <row r="219" spans="4:400" x14ac:dyDescent="0.25"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</row>
    <row r="220" spans="4:400" x14ac:dyDescent="0.25"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</row>
    <row r="221" spans="4:400" x14ac:dyDescent="0.25"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</row>
    <row r="222" spans="4:400" x14ac:dyDescent="0.25"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</row>
    <row r="223" spans="4:400" x14ac:dyDescent="0.25"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</row>
    <row r="224" spans="4:400" x14ac:dyDescent="0.25"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</row>
    <row r="225" spans="4:400" x14ac:dyDescent="0.25"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</row>
    <row r="226" spans="4:400" x14ac:dyDescent="0.25"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</row>
    <row r="227" spans="4:400" x14ac:dyDescent="0.25"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</row>
    <row r="228" spans="4:400" x14ac:dyDescent="0.25"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</row>
    <row r="229" spans="4:400" x14ac:dyDescent="0.25"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</row>
    <row r="230" spans="4:400" x14ac:dyDescent="0.25"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</row>
    <row r="231" spans="4:400" x14ac:dyDescent="0.25"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</row>
    <row r="232" spans="4:400" x14ac:dyDescent="0.25"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</row>
    <row r="233" spans="4:400" x14ac:dyDescent="0.25"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</row>
    <row r="234" spans="4:400" x14ac:dyDescent="0.25"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</row>
    <row r="235" spans="4:400" x14ac:dyDescent="0.25"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</row>
    <row r="236" spans="4:400" x14ac:dyDescent="0.25"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</row>
    <row r="237" spans="4:400" x14ac:dyDescent="0.25"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</row>
    <row r="238" spans="4:400" x14ac:dyDescent="0.25"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</row>
    <row r="239" spans="4:400" x14ac:dyDescent="0.25"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</row>
    <row r="240" spans="4:400" x14ac:dyDescent="0.25"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</row>
    <row r="241" spans="4:400" x14ac:dyDescent="0.25"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</row>
    <row r="242" spans="4:400" x14ac:dyDescent="0.25"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</row>
    <row r="243" spans="4:400" x14ac:dyDescent="0.25"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</row>
    <row r="244" spans="4:400" x14ac:dyDescent="0.25"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</row>
    <row r="245" spans="4:400" x14ac:dyDescent="0.25"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</row>
    <row r="246" spans="4:400" x14ac:dyDescent="0.25"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</row>
    <row r="247" spans="4:400" x14ac:dyDescent="0.25"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</row>
    <row r="248" spans="4:400" x14ac:dyDescent="0.25"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</row>
    <row r="249" spans="4:400" x14ac:dyDescent="0.25"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</row>
    <row r="250" spans="4:400" x14ac:dyDescent="0.25"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</row>
    <row r="251" spans="4:400" x14ac:dyDescent="0.25"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</row>
    <row r="252" spans="4:400" x14ac:dyDescent="0.25"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</row>
    <row r="253" spans="4:400" x14ac:dyDescent="0.25"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</row>
    <row r="254" spans="4:400" x14ac:dyDescent="0.25"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</row>
    <row r="255" spans="4:400" x14ac:dyDescent="0.25"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</row>
    <row r="256" spans="4:400" x14ac:dyDescent="0.25"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</row>
    <row r="257" spans="4:400" x14ac:dyDescent="0.25"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</row>
    <row r="258" spans="4:400" x14ac:dyDescent="0.25"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</row>
    <row r="259" spans="4:400" x14ac:dyDescent="0.25"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</row>
    <row r="260" spans="4:400" x14ac:dyDescent="0.25"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</row>
    <row r="261" spans="4:400" x14ac:dyDescent="0.25"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</row>
    <row r="262" spans="4:400" x14ac:dyDescent="0.25"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</row>
    <row r="263" spans="4:400" x14ac:dyDescent="0.25"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</row>
    <row r="264" spans="4:400" x14ac:dyDescent="0.25"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</row>
    <row r="265" spans="4:400" x14ac:dyDescent="0.25"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</row>
    <row r="266" spans="4:400" x14ac:dyDescent="0.25"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</row>
    <row r="267" spans="4:400" x14ac:dyDescent="0.25"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</row>
    <row r="268" spans="4:400" x14ac:dyDescent="0.25"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</row>
    <row r="269" spans="4:400" x14ac:dyDescent="0.25"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</row>
    <row r="270" spans="4:400" x14ac:dyDescent="0.25"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</row>
    <row r="271" spans="4:400" x14ac:dyDescent="0.25"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</row>
    <row r="272" spans="4:400" x14ac:dyDescent="0.25"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</row>
    <row r="273" spans="4:400" x14ac:dyDescent="0.25"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</row>
    <row r="274" spans="4:400" x14ac:dyDescent="0.25"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</row>
    <row r="275" spans="4:400" x14ac:dyDescent="0.25"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</row>
    <row r="276" spans="4:400" x14ac:dyDescent="0.25"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</row>
    <row r="277" spans="4:400" x14ac:dyDescent="0.25"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</row>
    <row r="278" spans="4:400" x14ac:dyDescent="0.25"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</row>
    <row r="279" spans="4:400" x14ac:dyDescent="0.25"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</row>
    <row r="280" spans="4:400" x14ac:dyDescent="0.25"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</row>
    <row r="281" spans="4:400" x14ac:dyDescent="0.25"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</row>
    <row r="282" spans="4:400" x14ac:dyDescent="0.25"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</row>
    <row r="283" spans="4:400" x14ac:dyDescent="0.25"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</row>
    <row r="284" spans="4:400" x14ac:dyDescent="0.25"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</row>
    <row r="285" spans="4:400" x14ac:dyDescent="0.25"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</row>
    <row r="286" spans="4:400" x14ac:dyDescent="0.25"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</row>
    <row r="287" spans="4:400" x14ac:dyDescent="0.25"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</row>
    <row r="288" spans="4:400" x14ac:dyDescent="0.25"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</row>
    <row r="289" spans="4:400" x14ac:dyDescent="0.25"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</row>
    <row r="290" spans="4:400" x14ac:dyDescent="0.25"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</row>
    <row r="291" spans="4:400" x14ac:dyDescent="0.25"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</row>
    <row r="292" spans="4:400" x14ac:dyDescent="0.25"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</row>
    <row r="293" spans="4:400" x14ac:dyDescent="0.25"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</row>
    <row r="294" spans="4:400" x14ac:dyDescent="0.25"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</row>
    <row r="295" spans="4:400" x14ac:dyDescent="0.25"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</row>
    <row r="296" spans="4:400" x14ac:dyDescent="0.25"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</row>
    <row r="297" spans="4:400" x14ac:dyDescent="0.25"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</row>
    <row r="298" spans="4:400" x14ac:dyDescent="0.25"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</row>
    <row r="299" spans="4:400" x14ac:dyDescent="0.25"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</row>
    <row r="300" spans="4:400" x14ac:dyDescent="0.25"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</row>
    <row r="301" spans="4:400" x14ac:dyDescent="0.25"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</row>
    <row r="302" spans="4:400" x14ac:dyDescent="0.25"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</row>
    <row r="303" spans="4:400" x14ac:dyDescent="0.25"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</row>
    <row r="304" spans="4:400" x14ac:dyDescent="0.25"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</row>
    <row r="305" spans="4:400" x14ac:dyDescent="0.25"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</row>
    <row r="306" spans="4:400" x14ac:dyDescent="0.25"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</row>
    <row r="307" spans="4:400" x14ac:dyDescent="0.25"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</row>
    <row r="308" spans="4:400" x14ac:dyDescent="0.25"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</row>
    <row r="309" spans="4:400" x14ac:dyDescent="0.25"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</row>
    <row r="310" spans="4:400" x14ac:dyDescent="0.25"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</row>
    <row r="311" spans="4:400" x14ac:dyDescent="0.25"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</row>
    <row r="312" spans="4:400" x14ac:dyDescent="0.25"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</row>
    <row r="313" spans="4:400" x14ac:dyDescent="0.25"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</row>
    <row r="314" spans="4:400" x14ac:dyDescent="0.25"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</row>
    <row r="315" spans="4:400" x14ac:dyDescent="0.25"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</row>
    <row r="316" spans="4:400" x14ac:dyDescent="0.25"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</row>
    <row r="317" spans="4:400" x14ac:dyDescent="0.25"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</row>
    <row r="318" spans="4:400" x14ac:dyDescent="0.25"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</row>
    <row r="319" spans="4:400" x14ac:dyDescent="0.25"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</row>
    <row r="320" spans="4:400" x14ac:dyDescent="0.25"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</row>
    <row r="321" spans="4:400" x14ac:dyDescent="0.25"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</row>
    <row r="322" spans="4:400" x14ac:dyDescent="0.25"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</row>
    <row r="323" spans="4:400" x14ac:dyDescent="0.25"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</row>
    <row r="324" spans="4:400" x14ac:dyDescent="0.25"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</row>
    <row r="325" spans="4:400" x14ac:dyDescent="0.25"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</row>
    <row r="326" spans="4:400" x14ac:dyDescent="0.25"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</row>
    <row r="327" spans="4:400" x14ac:dyDescent="0.25"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</row>
    <row r="328" spans="4:400" x14ac:dyDescent="0.25"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</row>
    <row r="329" spans="4:400" x14ac:dyDescent="0.25"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</row>
    <row r="330" spans="4:400" x14ac:dyDescent="0.25"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</row>
    <row r="331" spans="4:400" x14ac:dyDescent="0.25"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</row>
    <row r="332" spans="4:400" x14ac:dyDescent="0.25"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</row>
    <row r="333" spans="4:400" x14ac:dyDescent="0.25"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</row>
    <row r="334" spans="4:400" x14ac:dyDescent="0.25"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</row>
    <row r="335" spans="4:400" x14ac:dyDescent="0.25"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</row>
    <row r="336" spans="4:400" x14ac:dyDescent="0.25"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</row>
    <row r="337" spans="4:400" x14ac:dyDescent="0.25"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</row>
    <row r="338" spans="4:400" x14ac:dyDescent="0.25"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</row>
    <row r="339" spans="4:400" x14ac:dyDescent="0.25"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</row>
    <row r="340" spans="4:400" x14ac:dyDescent="0.25"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</row>
    <row r="341" spans="4:400" x14ac:dyDescent="0.25"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</row>
    <row r="342" spans="4:400" x14ac:dyDescent="0.25"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</row>
    <row r="343" spans="4:400" x14ac:dyDescent="0.25"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</row>
    <row r="344" spans="4:400" x14ac:dyDescent="0.25"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</row>
    <row r="345" spans="4:400" x14ac:dyDescent="0.25"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</row>
    <row r="346" spans="4:400" x14ac:dyDescent="0.25"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</row>
    <row r="347" spans="4:400" x14ac:dyDescent="0.25"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</row>
    <row r="348" spans="4:400" x14ac:dyDescent="0.25"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</row>
    <row r="349" spans="4:400" x14ac:dyDescent="0.25"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</row>
    <row r="350" spans="4:400" x14ac:dyDescent="0.25"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</row>
    <row r="351" spans="4:400" x14ac:dyDescent="0.25"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</row>
    <row r="352" spans="4:400" x14ac:dyDescent="0.25"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</row>
    <row r="353" spans="4:400" x14ac:dyDescent="0.25"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</row>
    <row r="354" spans="4:400" x14ac:dyDescent="0.25"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</row>
    <row r="355" spans="4:400" x14ac:dyDescent="0.25"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</row>
    <row r="356" spans="4:400" x14ac:dyDescent="0.25"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</row>
    <row r="357" spans="4:400" x14ac:dyDescent="0.25"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</row>
    <row r="358" spans="4:400" x14ac:dyDescent="0.25"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</row>
    <row r="359" spans="4:400" x14ac:dyDescent="0.25"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</row>
    <row r="360" spans="4:400" x14ac:dyDescent="0.25"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</row>
    <row r="361" spans="4:400" x14ac:dyDescent="0.25"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</row>
    <row r="362" spans="4:400" x14ac:dyDescent="0.25"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</row>
    <row r="363" spans="4:400" x14ac:dyDescent="0.25"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</row>
    <row r="364" spans="4:400" x14ac:dyDescent="0.25"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</row>
    <row r="365" spans="4:400" x14ac:dyDescent="0.25"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</row>
    <row r="366" spans="4:400" x14ac:dyDescent="0.25"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</row>
    <row r="367" spans="4:400" x14ac:dyDescent="0.25"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</row>
    <row r="368" spans="4:400" x14ac:dyDescent="0.25"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</row>
    <row r="369" spans="4:400" x14ac:dyDescent="0.25"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</row>
    <row r="370" spans="4:400" x14ac:dyDescent="0.25"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</row>
    <row r="371" spans="4:400" x14ac:dyDescent="0.25"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</row>
    <row r="372" spans="4:400" x14ac:dyDescent="0.25"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</row>
    <row r="373" spans="4:400" x14ac:dyDescent="0.25"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</row>
    <row r="374" spans="4:400" x14ac:dyDescent="0.25"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</row>
    <row r="375" spans="4:400" x14ac:dyDescent="0.25"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</row>
    <row r="376" spans="4:400" x14ac:dyDescent="0.25"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</row>
    <row r="377" spans="4:400" x14ac:dyDescent="0.25"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</row>
    <row r="378" spans="4:400" x14ac:dyDescent="0.25"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</row>
    <row r="379" spans="4:400" x14ac:dyDescent="0.25"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</row>
    <row r="380" spans="4:400" x14ac:dyDescent="0.25"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</row>
    <row r="381" spans="4:400" x14ac:dyDescent="0.25"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</row>
    <row r="382" spans="4:400" x14ac:dyDescent="0.25"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</row>
    <row r="383" spans="4:400" x14ac:dyDescent="0.25"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</row>
    <row r="384" spans="4:400" x14ac:dyDescent="0.25"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</row>
    <row r="385" spans="4:400" x14ac:dyDescent="0.25"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</row>
    <row r="386" spans="4:400" x14ac:dyDescent="0.25"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</row>
    <row r="387" spans="4:400" x14ac:dyDescent="0.25"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</row>
    <row r="388" spans="4:400" x14ac:dyDescent="0.25"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</row>
    <row r="389" spans="4:400" x14ac:dyDescent="0.25"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</row>
    <row r="390" spans="4:400" x14ac:dyDescent="0.25"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</row>
    <row r="391" spans="4:400" x14ac:dyDescent="0.25"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</row>
    <row r="392" spans="4:400" x14ac:dyDescent="0.25"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</row>
    <row r="393" spans="4:400" x14ac:dyDescent="0.25"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</row>
    <row r="394" spans="4:400" x14ac:dyDescent="0.25"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</row>
    <row r="395" spans="4:400" x14ac:dyDescent="0.25"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</row>
    <row r="396" spans="4:400" x14ac:dyDescent="0.25"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</row>
    <row r="397" spans="4:400" x14ac:dyDescent="0.25"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</row>
    <row r="398" spans="4:400" x14ac:dyDescent="0.25"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</row>
    <row r="399" spans="4:400" x14ac:dyDescent="0.25"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</row>
    <row r="400" spans="4:400" x14ac:dyDescent="0.25"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</row>
    <row r="401" spans="4:49" x14ac:dyDescent="0.25"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</row>
    <row r="402" spans="4:49" x14ac:dyDescent="0.25"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</row>
    <row r="403" spans="4:49" x14ac:dyDescent="0.25"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</row>
    <row r="404" spans="4:49" x14ac:dyDescent="0.25"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</row>
    <row r="405" spans="4:49" x14ac:dyDescent="0.25"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</row>
    <row r="406" spans="4:49" x14ac:dyDescent="0.25"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</row>
    <row r="407" spans="4:49" x14ac:dyDescent="0.25"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</row>
    <row r="408" spans="4:49" x14ac:dyDescent="0.25"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</row>
    <row r="409" spans="4:49" x14ac:dyDescent="0.25"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</row>
    <row r="410" spans="4:49" x14ac:dyDescent="0.25"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</row>
    <row r="411" spans="4:49" x14ac:dyDescent="0.25"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</row>
    <row r="412" spans="4:49" x14ac:dyDescent="0.25"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</row>
    <row r="413" spans="4:49" x14ac:dyDescent="0.25"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</row>
    <row r="414" spans="4:49" x14ac:dyDescent="0.25"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</row>
    <row r="415" spans="4:49" x14ac:dyDescent="0.25"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</row>
    <row r="416" spans="4:49" x14ac:dyDescent="0.25"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</row>
    <row r="417" spans="4:49" x14ac:dyDescent="0.25"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</row>
    <row r="418" spans="4:49" x14ac:dyDescent="0.25"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</row>
    <row r="419" spans="4:49" x14ac:dyDescent="0.25"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</row>
    <row r="420" spans="4:49" x14ac:dyDescent="0.25"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</row>
    <row r="421" spans="4:49" x14ac:dyDescent="0.25"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</row>
    <row r="422" spans="4:49" x14ac:dyDescent="0.25"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</row>
    <row r="423" spans="4:49" x14ac:dyDescent="0.25"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</row>
    <row r="424" spans="4:49" x14ac:dyDescent="0.25"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</row>
    <row r="425" spans="4:49" x14ac:dyDescent="0.25"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</row>
    <row r="426" spans="4:49" x14ac:dyDescent="0.25"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</row>
    <row r="427" spans="4:49" x14ac:dyDescent="0.25"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</row>
    <row r="428" spans="4:49" x14ac:dyDescent="0.25"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</row>
    <row r="429" spans="4:49" x14ac:dyDescent="0.25"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</row>
    <row r="430" spans="4:49" x14ac:dyDescent="0.25"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</row>
    <row r="431" spans="4:49" x14ac:dyDescent="0.25"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</row>
    <row r="432" spans="4:49" x14ac:dyDescent="0.25"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</row>
    <row r="433" spans="4:49" x14ac:dyDescent="0.25"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</row>
    <row r="434" spans="4:49" x14ac:dyDescent="0.25"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</row>
    <row r="435" spans="4:49" x14ac:dyDescent="0.25"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</row>
    <row r="436" spans="4:49" x14ac:dyDescent="0.25"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</row>
    <row r="437" spans="4:49" x14ac:dyDescent="0.25"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</row>
    <row r="438" spans="4:49" x14ac:dyDescent="0.25"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</row>
    <row r="439" spans="4:49" x14ac:dyDescent="0.25"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</row>
    <row r="440" spans="4:49" x14ac:dyDescent="0.25"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</row>
    <row r="441" spans="4:49" x14ac:dyDescent="0.25"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</row>
    <row r="442" spans="4:49" x14ac:dyDescent="0.25"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</row>
    <row r="443" spans="4:49" x14ac:dyDescent="0.25"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</row>
    <row r="444" spans="4:49" x14ac:dyDescent="0.25"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</row>
    <row r="445" spans="4:49" x14ac:dyDescent="0.25"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</row>
    <row r="446" spans="4:49" x14ac:dyDescent="0.25"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</row>
    <row r="447" spans="4:49" x14ac:dyDescent="0.25"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</row>
    <row r="448" spans="4:49" x14ac:dyDescent="0.25"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</row>
    <row r="449" spans="4:49" x14ac:dyDescent="0.25"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</row>
    <row r="450" spans="4:49" x14ac:dyDescent="0.25"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</row>
    <row r="451" spans="4:49" x14ac:dyDescent="0.25"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</row>
    <row r="452" spans="4:49" x14ac:dyDescent="0.25"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</row>
    <row r="453" spans="4:49" x14ac:dyDescent="0.25"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</row>
    <row r="454" spans="4:49" x14ac:dyDescent="0.25"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</row>
    <row r="455" spans="4:49" x14ac:dyDescent="0.25"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</row>
    <row r="456" spans="4:49" x14ac:dyDescent="0.25"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</row>
    <row r="457" spans="4:49" x14ac:dyDescent="0.25"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</row>
    <row r="458" spans="4:49" x14ac:dyDescent="0.25"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</row>
    <row r="459" spans="4:49" x14ac:dyDescent="0.25"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</row>
    <row r="460" spans="4:49" x14ac:dyDescent="0.25"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</row>
    <row r="461" spans="4:49" x14ac:dyDescent="0.25"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</row>
    <row r="462" spans="4:49" x14ac:dyDescent="0.25"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</row>
    <row r="463" spans="4:49" x14ac:dyDescent="0.25"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</row>
    <row r="464" spans="4:49" x14ac:dyDescent="0.25"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</row>
    <row r="465" spans="4:49" x14ac:dyDescent="0.25"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</row>
    <row r="466" spans="4:49" x14ac:dyDescent="0.25"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</row>
    <row r="467" spans="4:49" x14ac:dyDescent="0.25"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</row>
    <row r="468" spans="4:49" x14ac:dyDescent="0.25"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</row>
    <row r="469" spans="4:49" x14ac:dyDescent="0.25"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</row>
    <row r="470" spans="4:49" x14ac:dyDescent="0.25"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</row>
    <row r="471" spans="4:49" x14ac:dyDescent="0.25"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</row>
    <row r="472" spans="4:49" x14ac:dyDescent="0.25"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</row>
    <row r="473" spans="4:49" x14ac:dyDescent="0.25"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</row>
    <row r="474" spans="4:49" x14ac:dyDescent="0.25"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</row>
    <row r="475" spans="4:49" x14ac:dyDescent="0.25"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</row>
    <row r="476" spans="4:49" x14ac:dyDescent="0.25"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</row>
    <row r="477" spans="4:49" x14ac:dyDescent="0.25"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</row>
    <row r="478" spans="4:49" x14ac:dyDescent="0.25"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</row>
    <row r="479" spans="4:49" x14ac:dyDescent="0.25"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</row>
    <row r="480" spans="4:49" x14ac:dyDescent="0.25"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</row>
    <row r="481" spans="4:49" x14ac:dyDescent="0.25"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</row>
    <row r="482" spans="4:49" x14ac:dyDescent="0.25"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</row>
    <row r="483" spans="4:49" x14ac:dyDescent="0.25"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</row>
    <row r="484" spans="4:49" x14ac:dyDescent="0.25"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</row>
    <row r="485" spans="4:49" x14ac:dyDescent="0.25"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</row>
    <row r="486" spans="4:49" x14ac:dyDescent="0.25"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</row>
    <row r="487" spans="4:49" x14ac:dyDescent="0.25"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</row>
    <row r="488" spans="4:49" x14ac:dyDescent="0.25"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</row>
    <row r="489" spans="4:49" x14ac:dyDescent="0.25"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</row>
    <row r="490" spans="4:49" x14ac:dyDescent="0.25"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</row>
    <row r="491" spans="4:49" x14ac:dyDescent="0.25"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</row>
    <row r="492" spans="4:49" x14ac:dyDescent="0.25"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</row>
    <row r="493" spans="4:49" x14ac:dyDescent="0.25"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</row>
    <row r="494" spans="4:49" x14ac:dyDescent="0.25"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</row>
    <row r="495" spans="4:49" x14ac:dyDescent="0.25"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</row>
    <row r="496" spans="4:49" x14ac:dyDescent="0.25"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</row>
    <row r="497" spans="4:49" x14ac:dyDescent="0.25"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</row>
    <row r="498" spans="4:49" x14ac:dyDescent="0.25"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</row>
    <row r="499" spans="4:49" x14ac:dyDescent="0.25"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</row>
    <row r="500" spans="4:49" x14ac:dyDescent="0.25"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</row>
    <row r="501" spans="4:49" x14ac:dyDescent="0.25"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</row>
    <row r="502" spans="4:49" x14ac:dyDescent="0.25"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</row>
    <row r="503" spans="4:49" x14ac:dyDescent="0.25"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</row>
    <row r="504" spans="4:49" x14ac:dyDescent="0.25"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</row>
    <row r="505" spans="4:49" x14ac:dyDescent="0.25"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</row>
    <row r="506" spans="4:49" x14ac:dyDescent="0.25"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</row>
    <row r="507" spans="4:49" x14ac:dyDescent="0.25"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</row>
    <row r="508" spans="4:49" x14ac:dyDescent="0.25"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</row>
    <row r="509" spans="4:49" x14ac:dyDescent="0.25"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</row>
    <row r="510" spans="4:49" x14ac:dyDescent="0.25"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</row>
    <row r="511" spans="4:49" x14ac:dyDescent="0.25"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</row>
    <row r="512" spans="4:49" x14ac:dyDescent="0.25"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</row>
    <row r="513" spans="4:49" x14ac:dyDescent="0.25"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</row>
    <row r="514" spans="4:49" x14ac:dyDescent="0.25"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</row>
    <row r="515" spans="4:49" x14ac:dyDescent="0.25"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</row>
    <row r="516" spans="4:49" x14ac:dyDescent="0.25"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</row>
    <row r="517" spans="4:49" x14ac:dyDescent="0.25"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</row>
    <row r="518" spans="4:49" x14ac:dyDescent="0.25"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</row>
    <row r="519" spans="4:49" x14ac:dyDescent="0.25"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</row>
    <row r="520" spans="4:49" x14ac:dyDescent="0.25"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</row>
    <row r="521" spans="4:49" x14ac:dyDescent="0.25"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</row>
    <row r="522" spans="4:49" x14ac:dyDescent="0.25"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</row>
    <row r="523" spans="4:49" x14ac:dyDescent="0.25"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</row>
    <row r="524" spans="4:49" x14ac:dyDescent="0.25"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</row>
    <row r="525" spans="4:49" x14ac:dyDescent="0.25"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</row>
    <row r="526" spans="4:49" x14ac:dyDescent="0.25"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</row>
    <row r="527" spans="4:49" x14ac:dyDescent="0.25"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</row>
    <row r="528" spans="4:49" x14ac:dyDescent="0.25"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</row>
    <row r="529" spans="4:49" x14ac:dyDescent="0.25"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</row>
    <row r="530" spans="4:49" x14ac:dyDescent="0.25"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</row>
    <row r="531" spans="4:49" x14ac:dyDescent="0.25"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</row>
    <row r="532" spans="4:49" x14ac:dyDescent="0.25"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</row>
    <row r="533" spans="4:49" x14ac:dyDescent="0.25"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</row>
    <row r="534" spans="4:49" x14ac:dyDescent="0.25"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</row>
    <row r="535" spans="4:49" x14ac:dyDescent="0.25"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</row>
    <row r="536" spans="4:49" x14ac:dyDescent="0.25"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</row>
    <row r="537" spans="4:49" x14ac:dyDescent="0.25"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</row>
    <row r="538" spans="4:49" x14ac:dyDescent="0.25"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</row>
    <row r="539" spans="4:49" x14ac:dyDescent="0.25"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</row>
    <row r="540" spans="4:49" x14ac:dyDescent="0.25"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</row>
    <row r="541" spans="4:49" x14ac:dyDescent="0.25"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</row>
    <row r="542" spans="4:49" x14ac:dyDescent="0.25"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</row>
    <row r="543" spans="4:49" x14ac:dyDescent="0.25"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</row>
    <row r="544" spans="4:49" x14ac:dyDescent="0.25"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</row>
    <row r="545" spans="4:49" x14ac:dyDescent="0.25"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</row>
    <row r="546" spans="4:49" x14ac:dyDescent="0.25"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</row>
    <row r="547" spans="4:49" x14ac:dyDescent="0.25"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</row>
    <row r="548" spans="4:49" x14ac:dyDescent="0.25"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</row>
    <row r="549" spans="4:49" x14ac:dyDescent="0.25"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</row>
    <row r="550" spans="4:49" x14ac:dyDescent="0.25"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</row>
    <row r="551" spans="4:49" x14ac:dyDescent="0.25"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</row>
    <row r="552" spans="4:49" x14ac:dyDescent="0.25"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</row>
    <row r="553" spans="4:49" x14ac:dyDescent="0.25"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</row>
    <row r="554" spans="4:49" x14ac:dyDescent="0.25"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</row>
    <row r="555" spans="4:49" x14ac:dyDescent="0.25"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</row>
    <row r="556" spans="4:49" x14ac:dyDescent="0.25"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</row>
    <row r="557" spans="4:49" x14ac:dyDescent="0.25"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</row>
    <row r="558" spans="4:49" x14ac:dyDescent="0.25"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</row>
    <row r="559" spans="4:49" x14ac:dyDescent="0.25"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</row>
    <row r="560" spans="4:49" x14ac:dyDescent="0.25"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</row>
    <row r="561" spans="4:49" x14ac:dyDescent="0.25"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</row>
    <row r="562" spans="4:49" x14ac:dyDescent="0.25"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</row>
    <row r="563" spans="4:49" x14ac:dyDescent="0.25"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</row>
    <row r="564" spans="4:49" x14ac:dyDescent="0.25"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</row>
    <row r="565" spans="4:49" x14ac:dyDescent="0.25"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</row>
    <row r="566" spans="4:49" x14ac:dyDescent="0.25"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</row>
    <row r="567" spans="4:49" x14ac:dyDescent="0.25"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</row>
    <row r="568" spans="4:49" x14ac:dyDescent="0.25"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</row>
    <row r="569" spans="4:49" x14ac:dyDescent="0.25"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</row>
    <row r="570" spans="4:49" x14ac:dyDescent="0.25"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</row>
    <row r="571" spans="4:49" x14ac:dyDescent="0.25"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</row>
    <row r="572" spans="4:49" x14ac:dyDescent="0.25"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</row>
    <row r="573" spans="4:49" x14ac:dyDescent="0.25"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</row>
    <row r="574" spans="4:49" x14ac:dyDescent="0.25"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</row>
    <row r="575" spans="4:49" x14ac:dyDescent="0.25"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</row>
    <row r="576" spans="4:49" x14ac:dyDescent="0.25"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</row>
    <row r="577" spans="4:49" x14ac:dyDescent="0.25"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</row>
    <row r="578" spans="4:49" x14ac:dyDescent="0.25"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</row>
    <row r="579" spans="4:49" x14ac:dyDescent="0.25"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</row>
    <row r="580" spans="4:49" x14ac:dyDescent="0.25"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</row>
    <row r="581" spans="4:49" x14ac:dyDescent="0.25"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</row>
    <row r="582" spans="4:49" x14ac:dyDescent="0.25"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</row>
    <row r="583" spans="4:49" x14ac:dyDescent="0.25"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</row>
    <row r="584" spans="4:49" x14ac:dyDescent="0.25"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</row>
    <row r="585" spans="4:49" x14ac:dyDescent="0.25"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</row>
    <row r="586" spans="4:49" x14ac:dyDescent="0.25"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</row>
    <row r="587" spans="4:49" x14ac:dyDescent="0.25"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</row>
    <row r="588" spans="4:49" x14ac:dyDescent="0.25"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</row>
    <row r="589" spans="4:49" x14ac:dyDescent="0.25"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</row>
    <row r="590" spans="4:49" x14ac:dyDescent="0.25"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</row>
    <row r="591" spans="4:49" x14ac:dyDescent="0.25"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</row>
    <row r="592" spans="4:49" x14ac:dyDescent="0.25"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</row>
    <row r="593" spans="4:49" x14ac:dyDescent="0.25"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y_fdm_implicit">
                <anchor moveWithCells="1" siz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2</xdr:col>
                    <xdr:colOff>590550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dule1.wyczysc">
                <anchor moveWithCells="1" sizeWithCells="1">
                  <from>
                    <xdr:col>0</xdr:col>
                    <xdr:colOff>38100</xdr:colOff>
                    <xdr:row>19</xdr:row>
                    <xdr:rowOff>123825</xdr:rowOff>
                  </from>
                  <to>
                    <xdr:col>2</xdr:col>
                    <xdr:colOff>571500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1</vt:i4>
      </vt:variant>
    </vt:vector>
  </HeadingPairs>
  <TitlesOfParts>
    <vt:vector size="7" baseType="lpstr">
      <vt:lpstr>Wzory dokładne</vt:lpstr>
      <vt:lpstr>BinomialTree</vt:lpstr>
      <vt:lpstr>BrownianBridge</vt:lpstr>
      <vt:lpstr>BrownianBridgeVBA</vt:lpstr>
      <vt:lpstr>ExplicitMethod_excel</vt:lpstr>
      <vt:lpstr>ImpicitMethod_VBA</vt:lpstr>
      <vt:lpstr>'Wzory dokładne'!Obszar_wydruku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</dc:creator>
  <cp:lastModifiedBy>Radek</cp:lastModifiedBy>
  <dcterms:created xsi:type="dcterms:W3CDTF">2018-12-07T20:35:29Z</dcterms:created>
  <dcterms:modified xsi:type="dcterms:W3CDTF">2019-02-04T18:28:28Z</dcterms:modified>
</cp:coreProperties>
</file>